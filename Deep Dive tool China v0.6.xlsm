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CHRB1056.CORP.GWPNET.COM\homes\9\S66Q9R\Documents\Deep Dive\Deep Dive Tool\"/>
    </mc:Choice>
  </mc:AlternateContent>
  <bookViews>
    <workbookView xWindow="0" yWindow="0" windowWidth="15360" windowHeight="7200"/>
  </bookViews>
  <sheets>
    <sheet name="Instruction" sheetId="1" r:id="rId1"/>
    <sheet name="Account Introduction" sheetId="9" r:id="rId2"/>
    <sheet name="Investment accounts" sheetId="5" state="hidden" r:id="rId3"/>
    <sheet name="Cockpit" sheetId="3" r:id="rId4"/>
    <sheet name="Peer Analysis" sheetId="4" r:id="rId5"/>
    <sheet name="Template" sheetId="11" r:id="rId6"/>
    <sheet name="PICC" sheetId="16" r:id="rId7"/>
    <sheet name="CPIC" sheetId="17" r:id="rId8"/>
    <sheet name="PingAn" sheetId="18" r:id="rId9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5" i="3" l="1"/>
  <c r="F26" i="18"/>
  <c r="F26" i="17"/>
  <c r="F26" i="16"/>
  <c r="G26" i="11"/>
  <c r="F26" i="11"/>
  <c r="G26" i="18" l="1"/>
  <c r="G26" i="17"/>
  <c r="I26" i="16"/>
  <c r="O129" i="3"/>
  <c r="N129" i="3"/>
  <c r="M129" i="3"/>
  <c r="L129" i="3"/>
  <c r="K129" i="3"/>
  <c r="J129" i="3"/>
  <c r="I129" i="3"/>
  <c r="H129" i="3"/>
  <c r="G129" i="3"/>
  <c r="F129" i="3"/>
  <c r="O125" i="3"/>
  <c r="N125" i="3"/>
  <c r="M125" i="3"/>
  <c r="L125" i="3"/>
  <c r="K125" i="3"/>
  <c r="J125" i="3"/>
  <c r="I125" i="3"/>
  <c r="H125" i="3"/>
  <c r="G125" i="3"/>
  <c r="F125" i="3"/>
  <c r="O124" i="3"/>
  <c r="N124" i="3"/>
  <c r="M124" i="3"/>
  <c r="L124" i="3"/>
  <c r="K124" i="3"/>
  <c r="J124" i="3"/>
  <c r="I124" i="3"/>
  <c r="H124" i="3"/>
  <c r="G124" i="3"/>
  <c r="F124" i="3"/>
  <c r="O123" i="3"/>
  <c r="N123" i="3"/>
  <c r="M123" i="3"/>
  <c r="L123" i="3"/>
  <c r="K123" i="3"/>
  <c r="J123" i="3"/>
  <c r="I123" i="3"/>
  <c r="H123" i="3"/>
  <c r="G123" i="3"/>
  <c r="F123" i="3"/>
  <c r="O122" i="3"/>
  <c r="N122" i="3"/>
  <c r="M122" i="3"/>
  <c r="L122" i="3"/>
  <c r="K122" i="3"/>
  <c r="J122" i="3"/>
  <c r="I122" i="3"/>
  <c r="H122" i="3"/>
  <c r="G122" i="3"/>
  <c r="F122" i="3"/>
  <c r="O121" i="3"/>
  <c r="N121" i="3"/>
  <c r="M121" i="3"/>
  <c r="L121" i="3"/>
  <c r="K121" i="3"/>
  <c r="J121" i="3"/>
  <c r="I121" i="3"/>
  <c r="H121" i="3"/>
  <c r="G121" i="3"/>
  <c r="F121" i="3"/>
  <c r="O120" i="3"/>
  <c r="N120" i="3"/>
  <c r="M120" i="3"/>
  <c r="L120" i="3"/>
  <c r="K120" i="3"/>
  <c r="J120" i="3"/>
  <c r="I120" i="3"/>
  <c r="H120" i="3"/>
  <c r="G120" i="3"/>
  <c r="F120" i="3"/>
  <c r="O119" i="3"/>
  <c r="N119" i="3"/>
  <c r="M119" i="3"/>
  <c r="L119" i="3"/>
  <c r="K119" i="3"/>
  <c r="J119" i="3"/>
  <c r="I119" i="3"/>
  <c r="H119" i="3"/>
  <c r="G119" i="3"/>
  <c r="F119" i="3"/>
  <c r="O118" i="3"/>
  <c r="N118" i="3"/>
  <c r="M118" i="3"/>
  <c r="L118" i="3"/>
  <c r="K118" i="3"/>
  <c r="J118" i="3"/>
  <c r="I118" i="3"/>
  <c r="H118" i="3"/>
  <c r="G118" i="3"/>
  <c r="F118" i="3"/>
  <c r="O117" i="3"/>
  <c r="N117" i="3"/>
  <c r="M117" i="3"/>
  <c r="L117" i="3"/>
  <c r="K117" i="3"/>
  <c r="J117" i="3"/>
  <c r="I117" i="3"/>
  <c r="H117" i="3"/>
  <c r="G117" i="3"/>
  <c r="F117" i="3"/>
  <c r="O116" i="3"/>
  <c r="N116" i="3"/>
  <c r="M116" i="3"/>
  <c r="L116" i="3"/>
  <c r="K116" i="3"/>
  <c r="J116" i="3"/>
  <c r="I116" i="3"/>
  <c r="H116" i="3"/>
  <c r="G116" i="3"/>
  <c r="F116" i="3"/>
  <c r="O115" i="3"/>
  <c r="N115" i="3"/>
  <c r="M115" i="3"/>
  <c r="L115" i="3"/>
  <c r="K115" i="3"/>
  <c r="J115" i="3"/>
  <c r="I115" i="3"/>
  <c r="H115" i="3"/>
  <c r="G115" i="3"/>
  <c r="F115" i="3"/>
  <c r="O114" i="3"/>
  <c r="N114" i="3"/>
  <c r="M114" i="3"/>
  <c r="L114" i="3"/>
  <c r="K114" i="3"/>
  <c r="J114" i="3"/>
  <c r="I114" i="3"/>
  <c r="H114" i="3"/>
  <c r="G114" i="3"/>
  <c r="F114" i="3"/>
  <c r="O113" i="3"/>
  <c r="N113" i="3"/>
  <c r="M113" i="3"/>
  <c r="L113" i="3"/>
  <c r="K113" i="3"/>
  <c r="J113" i="3"/>
  <c r="I113" i="3"/>
  <c r="H113" i="3"/>
  <c r="G113" i="3"/>
  <c r="F113" i="3"/>
  <c r="O112" i="3"/>
  <c r="N112" i="3"/>
  <c r="M112" i="3"/>
  <c r="L112" i="3"/>
  <c r="K112" i="3"/>
  <c r="J112" i="3"/>
  <c r="I112" i="3"/>
  <c r="H112" i="3"/>
  <c r="G112" i="3"/>
  <c r="F112" i="3"/>
  <c r="O74" i="3"/>
  <c r="N74" i="3"/>
  <c r="M74" i="3"/>
  <c r="L74" i="3"/>
  <c r="K74" i="3"/>
  <c r="J74" i="3"/>
  <c r="I74" i="3"/>
  <c r="H74" i="3"/>
  <c r="G74" i="3"/>
  <c r="F74" i="3"/>
  <c r="O73" i="3"/>
  <c r="N73" i="3"/>
  <c r="M73" i="3"/>
  <c r="L73" i="3"/>
  <c r="K73" i="3"/>
  <c r="J73" i="3"/>
  <c r="I73" i="3"/>
  <c r="H73" i="3"/>
  <c r="G73" i="3"/>
  <c r="F73" i="3"/>
  <c r="O72" i="3"/>
  <c r="N72" i="3"/>
  <c r="M72" i="3"/>
  <c r="L72" i="3"/>
  <c r="K72" i="3"/>
  <c r="J72" i="3"/>
  <c r="I72" i="3"/>
  <c r="H72" i="3"/>
  <c r="G72" i="3"/>
  <c r="F72" i="3"/>
  <c r="O60" i="3"/>
  <c r="N60" i="3"/>
  <c r="M60" i="3"/>
  <c r="L60" i="3"/>
  <c r="K60" i="3"/>
  <c r="J60" i="3"/>
  <c r="I60" i="3"/>
  <c r="H60" i="3"/>
  <c r="G60" i="3"/>
  <c r="F60" i="3"/>
  <c r="O59" i="3"/>
  <c r="N59" i="3"/>
  <c r="M59" i="3"/>
  <c r="L59" i="3"/>
  <c r="K59" i="3"/>
  <c r="J59" i="3"/>
  <c r="I59" i="3"/>
  <c r="H59" i="3"/>
  <c r="G59" i="3"/>
  <c r="F59" i="3"/>
  <c r="O55" i="3"/>
  <c r="N55" i="3"/>
  <c r="M55" i="3"/>
  <c r="L55" i="3"/>
  <c r="K55" i="3"/>
  <c r="J55" i="3"/>
  <c r="I55" i="3"/>
  <c r="H55" i="3"/>
  <c r="G55" i="3"/>
  <c r="F55" i="3"/>
  <c r="O41" i="3"/>
  <c r="N41" i="3"/>
  <c r="M41" i="3"/>
  <c r="L41" i="3"/>
  <c r="K41" i="3"/>
  <c r="J41" i="3"/>
  <c r="I41" i="3"/>
  <c r="H41" i="3"/>
  <c r="G41" i="3"/>
  <c r="F41" i="3"/>
  <c r="F33" i="3"/>
  <c r="M24" i="3"/>
  <c r="M38" i="3" s="1"/>
  <c r="L24" i="3"/>
  <c r="L38" i="3" s="1"/>
  <c r="L40" i="3" s="1"/>
  <c r="I24" i="3"/>
  <c r="I38" i="3" s="1"/>
  <c r="H24" i="3"/>
  <c r="H38" i="3" s="1"/>
  <c r="O21" i="3"/>
  <c r="O24" i="3" s="1"/>
  <c r="O38" i="3" s="1"/>
  <c r="O40" i="3" s="1"/>
  <c r="N21" i="3"/>
  <c r="N24" i="3" s="1"/>
  <c r="N38" i="3" s="1"/>
  <c r="N40" i="3" s="1"/>
  <c r="M21" i="3"/>
  <c r="M37" i="3" s="1"/>
  <c r="L21" i="3"/>
  <c r="L37" i="3" s="1"/>
  <c r="K21" i="3"/>
  <c r="K24" i="3" s="1"/>
  <c r="K38" i="3" s="1"/>
  <c r="K40" i="3" s="1"/>
  <c r="J21" i="3"/>
  <c r="J24" i="3" s="1"/>
  <c r="J38" i="3" s="1"/>
  <c r="J40" i="3" s="1"/>
  <c r="I21" i="3"/>
  <c r="I37" i="3" s="1"/>
  <c r="H21" i="3"/>
  <c r="H37" i="3" s="1"/>
  <c r="G21" i="3"/>
  <c r="G24" i="3" s="1"/>
  <c r="G38" i="3" s="1"/>
  <c r="G40" i="3" s="1"/>
  <c r="F21" i="3"/>
  <c r="F37" i="3" s="1"/>
  <c r="F17" i="3"/>
  <c r="F34" i="3" s="1"/>
  <c r="F36" i="3" s="1"/>
  <c r="O16" i="3"/>
  <c r="O39" i="3" s="1"/>
  <c r="N16" i="3"/>
  <c r="N39" i="3" s="1"/>
  <c r="M16" i="3"/>
  <c r="M39" i="3" s="1"/>
  <c r="L16" i="3"/>
  <c r="L39" i="3" s="1"/>
  <c r="K16" i="3"/>
  <c r="K39" i="3" s="1"/>
  <c r="J16" i="3"/>
  <c r="J39" i="3" s="1"/>
  <c r="I16" i="3"/>
  <c r="I39" i="3" s="1"/>
  <c r="H16" i="3"/>
  <c r="H39" i="3" s="1"/>
  <c r="G16" i="3"/>
  <c r="G39" i="3" s="1"/>
  <c r="F16" i="3"/>
  <c r="F39" i="3" s="1"/>
  <c r="O15" i="3"/>
  <c r="O17" i="3" s="1"/>
  <c r="N15" i="3"/>
  <c r="N17" i="3" s="1"/>
  <c r="M15" i="3"/>
  <c r="M17" i="3" s="1"/>
  <c r="L15" i="3"/>
  <c r="L17" i="3" s="1"/>
  <c r="K15" i="3"/>
  <c r="K17" i="3" s="1"/>
  <c r="J15" i="3"/>
  <c r="J17" i="3" s="1"/>
  <c r="I15" i="3"/>
  <c r="I17" i="3" s="1"/>
  <c r="H15" i="3"/>
  <c r="H17" i="3" s="1"/>
  <c r="G15" i="3"/>
  <c r="G17" i="3" s="1"/>
  <c r="H26" i="18"/>
  <c r="I26" i="18"/>
  <c r="J26" i="18"/>
  <c r="K26" i="18"/>
  <c r="L26" i="18"/>
  <c r="M26" i="18"/>
  <c r="N26" i="18"/>
  <c r="O26" i="18"/>
  <c r="H26" i="17"/>
  <c r="I26" i="17"/>
  <c r="J26" i="17"/>
  <c r="K26" i="17"/>
  <c r="L26" i="17"/>
  <c r="M26" i="17"/>
  <c r="N26" i="17"/>
  <c r="O26" i="17"/>
  <c r="G26" i="16"/>
  <c r="H26" i="16"/>
  <c r="J26" i="16"/>
  <c r="K26" i="16"/>
  <c r="L26" i="16"/>
  <c r="M26" i="16"/>
  <c r="N26" i="16"/>
  <c r="O26" i="16"/>
  <c r="O26" i="11"/>
  <c r="H26" i="11"/>
  <c r="I26" i="11"/>
  <c r="J26" i="11"/>
  <c r="K26" i="11"/>
  <c r="L26" i="11"/>
  <c r="M26" i="11"/>
  <c r="N26" i="11"/>
  <c r="F24" i="11"/>
  <c r="F50" i="11"/>
  <c r="F32" i="11"/>
  <c r="F31" i="11"/>
  <c r="F30" i="11"/>
  <c r="F29" i="11"/>
  <c r="F28" i="11"/>
  <c r="F27" i="11"/>
  <c r="F25" i="11"/>
  <c r="G24" i="11"/>
  <c r="F8" i="11"/>
  <c r="F7" i="11"/>
  <c r="G5" i="3"/>
  <c r="H5" i="3"/>
  <c r="I5" i="3"/>
  <c r="J5" i="3"/>
  <c r="K5" i="3"/>
  <c r="L5" i="3"/>
  <c r="M5" i="3"/>
  <c r="N5" i="3"/>
  <c r="O5" i="3"/>
  <c r="F5" i="3"/>
  <c r="H35" i="3" l="1"/>
  <c r="H33" i="3"/>
  <c r="H34" i="3"/>
  <c r="H36" i="3" s="1"/>
  <c r="M40" i="3"/>
  <c r="M35" i="3"/>
  <c r="M33" i="3"/>
  <c r="M34" i="3"/>
  <c r="M36" i="3" s="1"/>
  <c r="H40" i="3"/>
  <c r="G34" i="3"/>
  <c r="G36" i="3" s="1"/>
  <c r="G35" i="3"/>
  <c r="G33" i="3"/>
  <c r="K34" i="3"/>
  <c r="K36" i="3" s="1"/>
  <c r="K35" i="3"/>
  <c r="K33" i="3"/>
  <c r="O34" i="3"/>
  <c r="O35" i="3"/>
  <c r="O33" i="3"/>
  <c r="L33" i="3"/>
  <c r="L35" i="3"/>
  <c r="L34" i="3"/>
  <c r="L36" i="3" s="1"/>
  <c r="I35" i="3"/>
  <c r="I33" i="3"/>
  <c r="I34" i="3"/>
  <c r="I36" i="3" s="1"/>
  <c r="J34" i="3"/>
  <c r="J36" i="3" s="1"/>
  <c r="J35" i="3"/>
  <c r="J33" i="3"/>
  <c r="N35" i="3"/>
  <c r="N33" i="3"/>
  <c r="N34" i="3"/>
  <c r="I40" i="3"/>
  <c r="N37" i="3"/>
  <c r="K37" i="3"/>
  <c r="F24" i="3"/>
  <c r="F38" i="3" s="1"/>
  <c r="F40" i="3" s="1"/>
  <c r="J37" i="3"/>
  <c r="G37" i="3"/>
  <c r="O37" i="3"/>
  <c r="O36" i="3" l="1"/>
  <c r="N36" i="3"/>
  <c r="K27" i="17" l="1"/>
  <c r="K80" i="17"/>
  <c r="K45" i="17"/>
  <c r="K44" i="17"/>
  <c r="M73" i="4"/>
  <c r="M75" i="4"/>
  <c r="L72" i="4"/>
  <c r="K71" i="4"/>
  <c r="K70" i="4"/>
  <c r="J72" i="4"/>
  <c r="I71" i="4"/>
  <c r="I70" i="4"/>
  <c r="H72" i="4"/>
  <c r="G71" i="4"/>
  <c r="G70" i="4"/>
  <c r="F72" i="4"/>
  <c r="E71" i="4"/>
  <c r="E70" i="4"/>
  <c r="D74" i="4"/>
  <c r="M61" i="4"/>
  <c r="M60" i="4"/>
  <c r="L62" i="4"/>
  <c r="K61" i="4"/>
  <c r="K60" i="4"/>
  <c r="J62" i="4"/>
  <c r="I63" i="4"/>
  <c r="I65" i="4"/>
  <c r="H64" i="4"/>
  <c r="G63" i="4"/>
  <c r="G65" i="4"/>
  <c r="F64" i="4"/>
  <c r="E61" i="4"/>
  <c r="E60" i="4"/>
  <c r="D62" i="4"/>
  <c r="M51" i="4"/>
  <c r="M52" i="4"/>
  <c r="L52" i="4"/>
  <c r="K53" i="4"/>
  <c r="K55" i="4"/>
  <c r="J52" i="4"/>
  <c r="I51" i="4"/>
  <c r="I50" i="4"/>
  <c r="H52" i="4"/>
  <c r="G51" i="4"/>
  <c r="G50" i="4"/>
  <c r="F52" i="4"/>
  <c r="E51" i="4"/>
  <c r="E50" i="4"/>
  <c r="D52" i="4"/>
  <c r="M41" i="4"/>
  <c r="M40" i="4"/>
  <c r="L44" i="4"/>
  <c r="K41" i="4"/>
  <c r="K40" i="4"/>
  <c r="J42" i="4"/>
  <c r="I41" i="4"/>
  <c r="I40" i="4"/>
  <c r="H44" i="4"/>
  <c r="G41" i="4"/>
  <c r="G40" i="4"/>
  <c r="F42" i="4"/>
  <c r="E41" i="4"/>
  <c r="E40" i="4"/>
  <c r="D42" i="4"/>
  <c r="M74" i="4"/>
  <c r="L70" i="4"/>
  <c r="J71" i="4"/>
  <c r="I72" i="4"/>
  <c r="H70" i="4"/>
  <c r="F71" i="4"/>
  <c r="E72" i="4"/>
  <c r="D75" i="4"/>
  <c r="L61" i="4"/>
  <c r="K62" i="4"/>
  <c r="J60" i="4"/>
  <c r="H63" i="4"/>
  <c r="G64" i="4"/>
  <c r="F65" i="4"/>
  <c r="D61" i="4"/>
  <c r="M53" i="4"/>
  <c r="L50" i="4"/>
  <c r="J51" i="4"/>
  <c r="I52" i="4"/>
  <c r="H50" i="4"/>
  <c r="F51" i="4"/>
  <c r="E52" i="4"/>
  <c r="D50" i="4"/>
  <c r="L43" i="4"/>
  <c r="K42" i="4"/>
  <c r="J40" i="4"/>
  <c r="H43" i="4"/>
  <c r="G42" i="4"/>
  <c r="F40" i="4"/>
  <c r="D41" i="4"/>
  <c r="L75" i="4"/>
  <c r="K73" i="4"/>
  <c r="J74" i="4"/>
  <c r="H75" i="4"/>
  <c r="G73" i="4"/>
  <c r="F74" i="4"/>
  <c r="D70" i="4"/>
  <c r="M63" i="4"/>
  <c r="L64" i="4"/>
  <c r="J65" i="4"/>
  <c r="I61" i="4"/>
  <c r="H62" i="4"/>
  <c r="F60" i="4"/>
  <c r="E63" i="4"/>
  <c r="D64" i="4"/>
  <c r="L55" i="4"/>
  <c r="K51" i="4"/>
  <c r="J54" i="4"/>
  <c r="H55" i="4"/>
  <c r="G53" i="4"/>
  <c r="F54" i="4"/>
  <c r="D55" i="4"/>
  <c r="M43" i="4"/>
  <c r="L42" i="4"/>
  <c r="J45" i="4"/>
  <c r="I43" i="4"/>
  <c r="H42" i="4"/>
  <c r="F45" i="4"/>
  <c r="E43" i="4"/>
  <c r="D44" i="4"/>
  <c r="M70" i="4"/>
  <c r="M72" i="4"/>
  <c r="L73" i="4"/>
  <c r="K75" i="4"/>
  <c r="K74" i="4"/>
  <c r="J73" i="4"/>
  <c r="I75" i="4"/>
  <c r="I74" i="4"/>
  <c r="H73" i="4"/>
  <c r="G75" i="4"/>
  <c r="G74" i="4"/>
  <c r="F73" i="4"/>
  <c r="E75" i="4"/>
  <c r="E74" i="4"/>
  <c r="D71" i="4"/>
  <c r="M65" i="4"/>
  <c r="M64" i="4"/>
  <c r="L63" i="4"/>
  <c r="K65" i="4"/>
  <c r="K64" i="4"/>
  <c r="J63" i="4"/>
  <c r="I60" i="4"/>
  <c r="I62" i="4"/>
  <c r="H61" i="4"/>
  <c r="G60" i="4"/>
  <c r="G62" i="4"/>
  <c r="F61" i="4"/>
  <c r="E65" i="4"/>
  <c r="E64" i="4"/>
  <c r="D63" i="4"/>
  <c r="M55" i="4"/>
  <c r="M54" i="4"/>
  <c r="L53" i="4"/>
  <c r="K50" i="4"/>
  <c r="K52" i="4"/>
  <c r="J53" i="4"/>
  <c r="I55" i="4"/>
  <c r="I54" i="4"/>
  <c r="H53" i="4"/>
  <c r="G55" i="4"/>
  <c r="G54" i="4"/>
  <c r="F53" i="4"/>
  <c r="E55" i="4"/>
  <c r="E54" i="4"/>
  <c r="D53" i="4"/>
  <c r="M45" i="4"/>
  <c r="M44" i="4"/>
  <c r="L41" i="4"/>
  <c r="K45" i="4"/>
  <c r="K44" i="4"/>
  <c r="J43" i="4"/>
  <c r="I45" i="4"/>
  <c r="I44" i="4"/>
  <c r="H41" i="4"/>
  <c r="G45" i="4"/>
  <c r="G44" i="4"/>
  <c r="F43" i="4"/>
  <c r="E45" i="4"/>
  <c r="E44" i="4"/>
  <c r="D43" i="4"/>
  <c r="L71" i="4"/>
  <c r="K72" i="4"/>
  <c r="J70" i="4"/>
  <c r="H71" i="4"/>
  <c r="G72" i="4"/>
  <c r="F70" i="4"/>
  <c r="D73" i="4"/>
  <c r="M62" i="4"/>
  <c r="L60" i="4"/>
  <c r="J61" i="4"/>
  <c r="I64" i="4"/>
  <c r="H65" i="4"/>
  <c r="F63" i="4"/>
  <c r="E62" i="4"/>
  <c r="D60" i="4"/>
  <c r="L51" i="4"/>
  <c r="K54" i="4"/>
  <c r="J50" i="4"/>
  <c r="H51" i="4"/>
  <c r="G52" i="4"/>
  <c r="F50" i="4"/>
  <c r="D51" i="4"/>
  <c r="M42" i="4"/>
  <c r="L45" i="4"/>
  <c r="J41" i="4"/>
  <c r="I42" i="4"/>
  <c r="H45" i="4"/>
  <c r="F41" i="4"/>
  <c r="E42" i="4"/>
  <c r="D40" i="4"/>
  <c r="M71" i="4"/>
  <c r="L74" i="4"/>
  <c r="J75" i="4"/>
  <c r="I73" i="4"/>
  <c r="H74" i="4"/>
  <c r="F75" i="4"/>
  <c r="E73" i="4"/>
  <c r="D72" i="4"/>
  <c r="L65" i="4"/>
  <c r="K63" i="4"/>
  <c r="J64" i="4"/>
  <c r="H60" i="4"/>
  <c r="G61" i="4"/>
  <c r="F62" i="4"/>
  <c r="D65" i="4"/>
  <c r="M50" i="4"/>
  <c r="L54" i="4"/>
  <c r="J55" i="4"/>
  <c r="I53" i="4"/>
  <c r="H54" i="4"/>
  <c r="F55" i="4"/>
  <c r="E53" i="4"/>
  <c r="D54" i="4"/>
  <c r="L40" i="4"/>
  <c r="K43" i="4"/>
  <c r="J44" i="4"/>
  <c r="H40" i="4"/>
  <c r="G43" i="4"/>
  <c r="F44" i="4"/>
  <c r="D45" i="4"/>
  <c r="C67" i="4" l="1"/>
  <c r="C68" i="4"/>
  <c r="C69" i="4"/>
  <c r="C70" i="4"/>
  <c r="C71" i="4"/>
  <c r="C72" i="4"/>
  <c r="C73" i="4"/>
  <c r="C74" i="4"/>
  <c r="C75" i="4"/>
  <c r="C66" i="4"/>
  <c r="C56" i="4"/>
  <c r="C57" i="4"/>
  <c r="C58" i="4"/>
  <c r="C59" i="4"/>
  <c r="C60" i="4"/>
  <c r="C61" i="4"/>
  <c r="C62" i="4"/>
  <c r="C63" i="4"/>
  <c r="C64" i="4"/>
  <c r="C65" i="4"/>
  <c r="C47" i="4"/>
  <c r="C48" i="4"/>
  <c r="C49" i="4"/>
  <c r="C50" i="4"/>
  <c r="C51" i="4"/>
  <c r="C52" i="4"/>
  <c r="C53" i="4"/>
  <c r="C54" i="4"/>
  <c r="C55" i="4"/>
  <c r="C46" i="4"/>
  <c r="C37" i="4"/>
  <c r="C38" i="4"/>
  <c r="C39" i="4"/>
  <c r="C40" i="4"/>
  <c r="C41" i="4"/>
  <c r="C42" i="4"/>
  <c r="C43" i="4"/>
  <c r="C44" i="4"/>
  <c r="C45" i="4"/>
  <c r="C36" i="4"/>
  <c r="C27" i="4"/>
  <c r="C28" i="4"/>
  <c r="C29" i="4"/>
  <c r="C30" i="4"/>
  <c r="C31" i="4"/>
  <c r="C32" i="4"/>
  <c r="C33" i="4"/>
  <c r="C34" i="4"/>
  <c r="C35" i="4"/>
  <c r="C26" i="4"/>
  <c r="C20" i="4"/>
  <c r="C21" i="4"/>
  <c r="C22" i="4"/>
  <c r="C23" i="4"/>
  <c r="C24" i="4"/>
  <c r="C25" i="4"/>
  <c r="C16" i="4"/>
  <c r="C17" i="4"/>
  <c r="C18" i="4"/>
  <c r="C19" i="4"/>
  <c r="E17" i="4"/>
  <c r="G37" i="4"/>
  <c r="K37" i="4"/>
  <c r="E57" i="4"/>
  <c r="I57" i="4"/>
  <c r="M57" i="4"/>
  <c r="G47" i="4"/>
  <c r="K47" i="4"/>
  <c r="E67" i="4"/>
  <c r="I67" i="4"/>
  <c r="M67" i="4"/>
  <c r="G38" i="4"/>
  <c r="L38" i="4"/>
  <c r="F58" i="4"/>
  <c r="J58" i="4"/>
  <c r="D68" i="4"/>
  <c r="H68" i="4"/>
  <c r="M68" i="4"/>
  <c r="G48" i="4"/>
  <c r="L48" i="4"/>
  <c r="F59" i="4"/>
  <c r="J59" i="4"/>
  <c r="D69" i="4"/>
  <c r="H69" i="4"/>
  <c r="L69" i="4"/>
  <c r="F49" i="4"/>
  <c r="J49" i="4"/>
  <c r="D39" i="4"/>
  <c r="H39" i="4"/>
  <c r="L39" i="4"/>
  <c r="F36" i="4"/>
  <c r="J36" i="4"/>
  <c r="D46" i="4"/>
  <c r="H46" i="4"/>
  <c r="L46" i="4"/>
  <c r="F56" i="4"/>
  <c r="J56" i="4"/>
  <c r="D66" i="4"/>
  <c r="H66" i="4"/>
  <c r="L66" i="4"/>
  <c r="M35" i="4"/>
  <c r="K26" i="4"/>
  <c r="H35" i="4"/>
  <c r="F34" i="4"/>
  <c r="M24" i="4"/>
  <c r="J21" i="4"/>
  <c r="H21" i="4"/>
  <c r="F22" i="4"/>
  <c r="D26" i="4"/>
  <c r="L18" i="4"/>
  <c r="H17" i="4"/>
  <c r="D19" i="4"/>
  <c r="J29" i="4"/>
  <c r="L26" i="4"/>
  <c r="I35" i="4"/>
  <c r="G33" i="4"/>
  <c r="E35" i="4"/>
  <c r="K22" i="4"/>
  <c r="I23" i="4"/>
  <c r="G24" i="4"/>
  <c r="E16" i="4"/>
  <c r="E18" i="4"/>
  <c r="K28" i="4"/>
  <c r="K27" i="4"/>
  <c r="G29" i="4"/>
  <c r="L31" i="4"/>
  <c r="J34" i="4"/>
  <c r="G31" i="4"/>
  <c r="E32" i="4"/>
  <c r="L20" i="4"/>
  <c r="J16" i="4"/>
  <c r="G25" i="4"/>
  <c r="E23" i="4"/>
  <c r="D24" i="4"/>
  <c r="H28" i="4"/>
  <c r="D27" i="4"/>
  <c r="J19" i="4"/>
  <c r="M31" i="4"/>
  <c r="K34" i="4"/>
  <c r="H31" i="4"/>
  <c r="F30" i="4"/>
  <c r="M23" i="4"/>
  <c r="K16" i="4"/>
  <c r="H20" i="4"/>
  <c r="F20" i="4"/>
  <c r="D31" i="4"/>
  <c r="K18" i="4"/>
  <c r="K17" i="4"/>
  <c r="G19" i="4"/>
  <c r="M29" i="4"/>
  <c r="K29" i="4"/>
  <c r="G30" i="4"/>
  <c r="E26" i="4"/>
  <c r="I20" i="4"/>
  <c r="G23" i="4"/>
  <c r="D35" i="4"/>
  <c r="L28" i="4"/>
  <c r="H27" i="4"/>
  <c r="D29" i="4"/>
  <c r="J32" i="4"/>
  <c r="H30" i="4"/>
  <c r="L24" i="4"/>
  <c r="J23" i="4"/>
  <c r="E21" i="4"/>
  <c r="D22" i="4"/>
  <c r="E27" i="4"/>
  <c r="K19" i="4"/>
  <c r="I37" i="4"/>
  <c r="M37" i="4"/>
  <c r="K57" i="4"/>
  <c r="E47" i="4"/>
  <c r="M47" i="4"/>
  <c r="G67" i="4"/>
  <c r="E38" i="4"/>
  <c r="J38" i="4"/>
  <c r="H58" i="4"/>
  <c r="L58" i="4"/>
  <c r="K68" i="4"/>
  <c r="E48" i="4"/>
  <c r="D59" i="4"/>
  <c r="H59" i="4"/>
  <c r="F69" i="4"/>
  <c r="J69" i="4"/>
  <c r="H49" i="4"/>
  <c r="L49" i="4"/>
  <c r="J39" i="4"/>
  <c r="D36" i="4"/>
  <c r="D37" i="4"/>
  <c r="H37" i="4"/>
  <c r="L37" i="4"/>
  <c r="F57" i="4"/>
  <c r="J57" i="4"/>
  <c r="D47" i="4"/>
  <c r="H47" i="4"/>
  <c r="L47" i="4"/>
  <c r="F67" i="4"/>
  <c r="J67" i="4"/>
  <c r="D38" i="4"/>
  <c r="H38" i="4"/>
  <c r="M38" i="4"/>
  <c r="G58" i="4"/>
  <c r="K58" i="4"/>
  <c r="E68" i="4"/>
  <c r="J68" i="4"/>
  <c r="D48" i="4"/>
  <c r="H48" i="4"/>
  <c r="M48" i="4"/>
  <c r="G59" i="4"/>
  <c r="K59" i="4"/>
  <c r="E69" i="4"/>
  <c r="I69" i="4"/>
  <c r="M69" i="4"/>
  <c r="G49" i="4"/>
  <c r="K49" i="4"/>
  <c r="E39" i="4"/>
  <c r="I39" i="4"/>
  <c r="M39" i="4"/>
  <c r="G36" i="4"/>
  <c r="K36" i="4"/>
  <c r="E46" i="4"/>
  <c r="I46" i="4"/>
  <c r="M46" i="4"/>
  <c r="G56" i="4"/>
  <c r="K56" i="4"/>
  <c r="E66" i="4"/>
  <c r="I66" i="4"/>
  <c r="M66" i="4"/>
  <c r="L30" i="4"/>
  <c r="J33" i="4"/>
  <c r="H34" i="4"/>
  <c r="E31" i="4"/>
  <c r="L21" i="4"/>
  <c r="J20" i="4"/>
  <c r="H16" i="4"/>
  <c r="E25" i="4"/>
  <c r="D23" i="4"/>
  <c r="F28" i="4"/>
  <c r="L17" i="4"/>
  <c r="H19" i="4"/>
  <c r="M30" i="4"/>
  <c r="K33" i="4"/>
  <c r="I32" i="4"/>
  <c r="F31" i="4"/>
  <c r="M20" i="4"/>
  <c r="K24" i="4"/>
  <c r="I16" i="4"/>
  <c r="F25" i="4"/>
  <c r="D30" i="4"/>
  <c r="I18" i="4"/>
  <c r="I17" i="4"/>
  <c r="E19" i="4"/>
  <c r="K31" i="4"/>
  <c r="I33" i="4"/>
  <c r="K23" i="4"/>
  <c r="F18" i="4"/>
  <c r="L33" i="4"/>
  <c r="F26" i="4"/>
  <c r="H25" i="4"/>
  <c r="E28" i="4"/>
  <c r="E37" i="4"/>
  <c r="G57" i="4"/>
  <c r="I47" i="4"/>
  <c r="K67" i="4"/>
  <c r="D58" i="4"/>
  <c r="F68" i="4"/>
  <c r="J48" i="4"/>
  <c r="L59" i="4"/>
  <c r="D49" i="4"/>
  <c r="F39" i="4"/>
  <c r="H36" i="4"/>
  <c r="H57" i="4"/>
  <c r="D67" i="4"/>
  <c r="K38" i="4"/>
  <c r="G68" i="4"/>
  <c r="E59" i="4"/>
  <c r="K69" i="4"/>
  <c r="G39" i="4"/>
  <c r="L36" i="4"/>
  <c r="J46" i="4"/>
  <c r="H56" i="4"/>
  <c r="F66" i="4"/>
  <c r="A10" i="3"/>
  <c r="I31" i="4"/>
  <c r="E34" i="4"/>
  <c r="I25" i="4"/>
  <c r="L19" i="4"/>
  <c r="F24" i="4"/>
  <c r="K21" i="4"/>
  <c r="L35" i="4"/>
  <c r="D16" i="4"/>
  <c r="L57" i="4"/>
  <c r="L68" i="4"/>
  <c r="K39" i="4"/>
  <c r="I56" i="4"/>
  <c r="I34" i="4"/>
  <c r="D17" i="4"/>
  <c r="E33" i="4"/>
  <c r="G28" i="4"/>
  <c r="F32" i="4"/>
  <c r="D28" i="4"/>
  <c r="G34" i="4"/>
  <c r="G18" i="4"/>
  <c r="F47" i="4"/>
  <c r="F48" i="4"/>
  <c r="I49" i="4"/>
  <c r="D56" i="4"/>
  <c r="L32" i="4"/>
  <c r="G20" i="4"/>
  <c r="M32" i="4"/>
  <c r="H23" i="4"/>
  <c r="I26" i="4"/>
  <c r="D34" i="4"/>
  <c r="E30" i="4"/>
  <c r="M28" i="4"/>
  <c r="D57" i="4"/>
  <c r="J47" i="4"/>
  <c r="F38" i="4"/>
  <c r="M58" i="4"/>
  <c r="K48" i="4"/>
  <c r="G69" i="4"/>
  <c r="M49" i="4"/>
  <c r="I36" i="4"/>
  <c r="G46" i="4"/>
  <c r="E56" i="4"/>
  <c r="M56" i="4"/>
  <c r="K66" i="4"/>
  <c r="K32" i="4"/>
  <c r="G26" i="4"/>
  <c r="K20" i="4"/>
  <c r="F21" i="4"/>
  <c r="H18" i="4"/>
  <c r="J27" i="4"/>
  <c r="L34" i="4"/>
  <c r="H26" i="4"/>
  <c r="L23" i="4"/>
  <c r="G21" i="4"/>
  <c r="D20" i="4"/>
  <c r="G27" i="4"/>
  <c r="M26" i="4"/>
  <c r="H33" i="4"/>
  <c r="L22" i="4"/>
  <c r="H24" i="4"/>
  <c r="D25" i="4"/>
  <c r="J17" i="4"/>
  <c r="L29" i="4"/>
  <c r="I30" i="4"/>
  <c r="M21" i="4"/>
  <c r="I24" i="4"/>
  <c r="D32" i="4"/>
  <c r="G17" i="4"/>
  <c r="I29" i="4"/>
  <c r="E24" i="4"/>
  <c r="J28" i="4"/>
  <c r="J31" i="4"/>
  <c r="F35" i="4"/>
  <c r="J25" i="4"/>
  <c r="M18" i="4"/>
  <c r="I19" i="4"/>
  <c r="K30" i="4"/>
  <c r="F33" i="4"/>
  <c r="F23" i="4"/>
  <c r="J18" i="4"/>
  <c r="L27" i="4"/>
  <c r="G35" i="4"/>
  <c r="L25" i="4"/>
  <c r="G22" i="4"/>
  <c r="I27" i="4"/>
  <c r="F37" i="4"/>
  <c r="H67" i="4"/>
  <c r="E58" i="4"/>
  <c r="I59" i="4"/>
  <c r="E49" i="4"/>
  <c r="M36" i="4"/>
  <c r="K46" i="4"/>
  <c r="G66" i="4"/>
  <c r="M33" i="4"/>
  <c r="M25" i="4"/>
  <c r="I22" i="4"/>
  <c r="D33" i="4"/>
  <c r="F29" i="4"/>
  <c r="J30" i="4"/>
  <c r="J24" i="4"/>
  <c r="E22" i="4"/>
  <c r="M19" i="4"/>
  <c r="J35" i="4"/>
  <c r="J22" i="4"/>
  <c r="F16" i="4"/>
  <c r="F19" i="4"/>
  <c r="K35" i="4"/>
  <c r="K25" i="4"/>
  <c r="G16" i="4"/>
  <c r="M27" i="4"/>
  <c r="J37" i="4"/>
  <c r="L67" i="4"/>
  <c r="I58" i="4"/>
  <c r="M59" i="4"/>
  <c r="E36" i="4"/>
  <c r="F46" i="4"/>
  <c r="L56" i="4"/>
  <c r="J66" i="4"/>
  <c r="G32" i="4"/>
  <c r="L16" i="4"/>
  <c r="D18" i="4"/>
  <c r="F27" i="4"/>
  <c r="H32" i="4"/>
  <c r="M16" i="4"/>
  <c r="D21" i="4"/>
  <c r="M17" i="4"/>
  <c r="M34" i="4"/>
  <c r="M22" i="4"/>
  <c r="H22" i="4"/>
  <c r="F17" i="4"/>
  <c r="H29" i="4"/>
  <c r="J26" i="4"/>
  <c r="I21" i="4"/>
  <c r="E20" i="4"/>
  <c r="E29" i="4"/>
  <c r="O120" i="18" l="1"/>
  <c r="N120" i="18"/>
  <c r="M120" i="18"/>
  <c r="L120" i="18"/>
  <c r="K120" i="18"/>
  <c r="J120" i="18"/>
  <c r="I120" i="18"/>
  <c r="H120" i="18"/>
  <c r="G120" i="18"/>
  <c r="F120" i="18"/>
  <c r="O116" i="18"/>
  <c r="N116" i="18"/>
  <c r="M116" i="18"/>
  <c r="L116" i="18"/>
  <c r="K116" i="18"/>
  <c r="J116" i="18"/>
  <c r="I116" i="18"/>
  <c r="H116" i="18"/>
  <c r="G116" i="18"/>
  <c r="F116" i="18"/>
  <c r="O115" i="18"/>
  <c r="N115" i="18"/>
  <c r="M115" i="18"/>
  <c r="L115" i="18"/>
  <c r="K115" i="18"/>
  <c r="J115" i="18"/>
  <c r="I115" i="18"/>
  <c r="H115" i="18"/>
  <c r="G115" i="18"/>
  <c r="F115" i="18"/>
  <c r="O114" i="18"/>
  <c r="N114" i="18"/>
  <c r="M114" i="18"/>
  <c r="L114" i="18"/>
  <c r="K114" i="18"/>
  <c r="J114" i="18"/>
  <c r="I114" i="18"/>
  <c r="H114" i="18"/>
  <c r="G114" i="18"/>
  <c r="F114" i="18"/>
  <c r="O113" i="18"/>
  <c r="N113" i="18"/>
  <c r="M113" i="18"/>
  <c r="L113" i="18"/>
  <c r="K113" i="18"/>
  <c r="J113" i="18"/>
  <c r="I113" i="18"/>
  <c r="H113" i="18"/>
  <c r="G113" i="18"/>
  <c r="F113" i="18"/>
  <c r="O112" i="18"/>
  <c r="N112" i="18"/>
  <c r="M112" i="18"/>
  <c r="L112" i="18"/>
  <c r="K112" i="18"/>
  <c r="J112" i="18"/>
  <c r="I112" i="18"/>
  <c r="H112" i="18"/>
  <c r="G112" i="18"/>
  <c r="F112" i="18"/>
  <c r="O111" i="18"/>
  <c r="N111" i="18"/>
  <c r="M111" i="18"/>
  <c r="L111" i="18"/>
  <c r="K111" i="18"/>
  <c r="J111" i="18"/>
  <c r="I111" i="18"/>
  <c r="H111" i="18"/>
  <c r="G111" i="18"/>
  <c r="F111" i="18"/>
  <c r="O110" i="18"/>
  <c r="N110" i="18"/>
  <c r="M110" i="18"/>
  <c r="L110" i="18"/>
  <c r="K110" i="18"/>
  <c r="J110" i="18"/>
  <c r="I110" i="18"/>
  <c r="H110" i="18"/>
  <c r="G110" i="18"/>
  <c r="F110" i="18"/>
  <c r="O109" i="18"/>
  <c r="N109" i="18"/>
  <c r="M109" i="18"/>
  <c r="L109" i="18"/>
  <c r="K109" i="18"/>
  <c r="J109" i="18"/>
  <c r="I109" i="18"/>
  <c r="H109" i="18"/>
  <c r="G109" i="18"/>
  <c r="F109" i="18"/>
  <c r="O108" i="18"/>
  <c r="N108" i="18"/>
  <c r="M108" i="18"/>
  <c r="L108" i="18"/>
  <c r="K108" i="18"/>
  <c r="J108" i="18"/>
  <c r="I108" i="18"/>
  <c r="H108" i="18"/>
  <c r="G108" i="18"/>
  <c r="F108" i="18"/>
  <c r="O107" i="18"/>
  <c r="N107" i="18"/>
  <c r="M107" i="18"/>
  <c r="L107" i="18"/>
  <c r="K107" i="18"/>
  <c r="J107" i="18"/>
  <c r="I107" i="18"/>
  <c r="H107" i="18"/>
  <c r="G107" i="18"/>
  <c r="F107" i="18"/>
  <c r="O106" i="18"/>
  <c r="N106" i="18"/>
  <c r="M106" i="18"/>
  <c r="L106" i="18"/>
  <c r="K106" i="18"/>
  <c r="J106" i="18"/>
  <c r="I106" i="18"/>
  <c r="H106" i="18"/>
  <c r="G106" i="18"/>
  <c r="F106" i="18"/>
  <c r="O105" i="18"/>
  <c r="N105" i="18"/>
  <c r="M105" i="18"/>
  <c r="L105" i="18"/>
  <c r="K105" i="18"/>
  <c r="J105" i="18"/>
  <c r="I105" i="18"/>
  <c r="H105" i="18"/>
  <c r="G105" i="18"/>
  <c r="F105" i="18"/>
  <c r="O104" i="18"/>
  <c r="N104" i="18"/>
  <c r="M104" i="18"/>
  <c r="L104" i="18"/>
  <c r="K104" i="18"/>
  <c r="J104" i="18"/>
  <c r="I104" i="18"/>
  <c r="H104" i="18"/>
  <c r="G104" i="18"/>
  <c r="F104" i="18"/>
  <c r="O103" i="18"/>
  <c r="N103" i="18"/>
  <c r="M103" i="18"/>
  <c r="L103" i="18"/>
  <c r="K103" i="18"/>
  <c r="J103" i="18"/>
  <c r="I103" i="18"/>
  <c r="H103" i="18"/>
  <c r="G103" i="18"/>
  <c r="F103" i="18"/>
  <c r="O65" i="18"/>
  <c r="N65" i="18"/>
  <c r="M65" i="18"/>
  <c r="L65" i="18"/>
  <c r="K65" i="18"/>
  <c r="J65" i="18"/>
  <c r="I65" i="18"/>
  <c r="H65" i="18"/>
  <c r="G65" i="18"/>
  <c r="F65" i="18"/>
  <c r="O64" i="18"/>
  <c r="N64" i="18"/>
  <c r="M64" i="18"/>
  <c r="L64" i="18"/>
  <c r="K64" i="18"/>
  <c r="J64" i="18"/>
  <c r="I64" i="18"/>
  <c r="H64" i="18"/>
  <c r="G64" i="18"/>
  <c r="F64" i="18"/>
  <c r="O63" i="18"/>
  <c r="N63" i="18"/>
  <c r="M63" i="18"/>
  <c r="L63" i="18"/>
  <c r="K63" i="18"/>
  <c r="J63" i="18"/>
  <c r="I63" i="18"/>
  <c r="H63" i="18"/>
  <c r="G63" i="18"/>
  <c r="F63" i="18"/>
  <c r="O51" i="18"/>
  <c r="N51" i="18"/>
  <c r="M51" i="18"/>
  <c r="L51" i="18"/>
  <c r="K51" i="18"/>
  <c r="J51" i="18"/>
  <c r="I51" i="18"/>
  <c r="H51" i="18"/>
  <c r="G51" i="18"/>
  <c r="F51" i="18"/>
  <c r="O50" i="18"/>
  <c r="N50" i="18"/>
  <c r="M50" i="18"/>
  <c r="L50" i="18"/>
  <c r="K50" i="18"/>
  <c r="J50" i="18"/>
  <c r="I50" i="18"/>
  <c r="H50" i="18"/>
  <c r="G50" i="18"/>
  <c r="F50" i="18"/>
  <c r="O46" i="18"/>
  <c r="N46" i="18"/>
  <c r="M46" i="18"/>
  <c r="L46" i="18"/>
  <c r="K46" i="18"/>
  <c r="J46" i="18"/>
  <c r="I46" i="18"/>
  <c r="H46" i="18"/>
  <c r="G46" i="18"/>
  <c r="F46" i="18"/>
  <c r="O32" i="18"/>
  <c r="N32" i="18"/>
  <c r="M32" i="18"/>
  <c r="L32" i="18"/>
  <c r="K32" i="18"/>
  <c r="J32" i="18"/>
  <c r="I32" i="18"/>
  <c r="H32" i="18"/>
  <c r="G32" i="18"/>
  <c r="F32" i="18"/>
  <c r="F24" i="18"/>
  <c r="M15" i="18"/>
  <c r="M29" i="18" s="1"/>
  <c r="L15" i="18"/>
  <c r="L29" i="18" s="1"/>
  <c r="L31" i="18" s="1"/>
  <c r="I15" i="18"/>
  <c r="I29" i="18" s="1"/>
  <c r="H15" i="18"/>
  <c r="H29" i="18" s="1"/>
  <c r="H31" i="18" s="1"/>
  <c r="O12" i="18"/>
  <c r="O15" i="18" s="1"/>
  <c r="O29" i="18" s="1"/>
  <c r="N12" i="18"/>
  <c r="N15" i="18" s="1"/>
  <c r="N29" i="18" s="1"/>
  <c r="N31" i="18" s="1"/>
  <c r="M12" i="18"/>
  <c r="M28" i="18" s="1"/>
  <c r="L12" i="18"/>
  <c r="L28" i="18" s="1"/>
  <c r="K12" i="18"/>
  <c r="K15" i="18" s="1"/>
  <c r="K29" i="18" s="1"/>
  <c r="J12" i="18"/>
  <c r="J15" i="18" s="1"/>
  <c r="J29" i="18" s="1"/>
  <c r="J31" i="18" s="1"/>
  <c r="I12" i="18"/>
  <c r="I28" i="18" s="1"/>
  <c r="H12" i="18"/>
  <c r="H28" i="18" s="1"/>
  <c r="G12" i="18"/>
  <c r="G15" i="18" s="1"/>
  <c r="G29" i="18" s="1"/>
  <c r="F12" i="18"/>
  <c r="F15" i="18" s="1"/>
  <c r="F29" i="18" s="1"/>
  <c r="F31" i="18" s="1"/>
  <c r="F8" i="18"/>
  <c r="F25" i="18" s="1"/>
  <c r="F27" i="18" s="1"/>
  <c r="O7" i="18"/>
  <c r="O30" i="18" s="1"/>
  <c r="N7" i="18"/>
  <c r="N30" i="18" s="1"/>
  <c r="M7" i="18"/>
  <c r="M30" i="18" s="1"/>
  <c r="L7" i="18"/>
  <c r="L30" i="18" s="1"/>
  <c r="K7" i="18"/>
  <c r="K30" i="18" s="1"/>
  <c r="J7" i="18"/>
  <c r="J30" i="18" s="1"/>
  <c r="I7" i="18"/>
  <c r="I30" i="18" s="1"/>
  <c r="H7" i="18"/>
  <c r="H30" i="18" s="1"/>
  <c r="G7" i="18"/>
  <c r="G30" i="18" s="1"/>
  <c r="F7" i="18"/>
  <c r="F30" i="18" s="1"/>
  <c r="O6" i="18"/>
  <c r="O8" i="18" s="1"/>
  <c r="N6" i="18"/>
  <c r="N8" i="18" s="1"/>
  <c r="M6" i="18"/>
  <c r="M8" i="18" s="1"/>
  <c r="L6" i="18"/>
  <c r="L8" i="18" s="1"/>
  <c r="K6" i="18"/>
  <c r="K8" i="18" s="1"/>
  <c r="J6" i="18"/>
  <c r="J8" i="18" s="1"/>
  <c r="I6" i="18"/>
  <c r="I8" i="18" s="1"/>
  <c r="H6" i="18"/>
  <c r="H8" i="18" s="1"/>
  <c r="G6" i="18"/>
  <c r="G8" i="18" s="1"/>
  <c r="O120" i="17"/>
  <c r="N120" i="17"/>
  <c r="M120" i="17"/>
  <c r="L120" i="17"/>
  <c r="K120" i="17"/>
  <c r="J120" i="17"/>
  <c r="I120" i="17"/>
  <c r="H120" i="17"/>
  <c r="G120" i="17"/>
  <c r="F120" i="17"/>
  <c r="O116" i="17"/>
  <c r="N116" i="17"/>
  <c r="M116" i="17"/>
  <c r="L116" i="17"/>
  <c r="K116" i="17"/>
  <c r="J116" i="17"/>
  <c r="I116" i="17"/>
  <c r="H116" i="17"/>
  <c r="G116" i="17"/>
  <c r="F116" i="17"/>
  <c r="O115" i="17"/>
  <c r="N115" i="17"/>
  <c r="M115" i="17"/>
  <c r="L115" i="17"/>
  <c r="K115" i="17"/>
  <c r="J115" i="17"/>
  <c r="I115" i="17"/>
  <c r="H115" i="17"/>
  <c r="G115" i="17"/>
  <c r="F115" i="17"/>
  <c r="O114" i="17"/>
  <c r="N114" i="17"/>
  <c r="M114" i="17"/>
  <c r="L114" i="17"/>
  <c r="K114" i="17"/>
  <c r="J114" i="17"/>
  <c r="I114" i="17"/>
  <c r="H114" i="17"/>
  <c r="G114" i="17"/>
  <c r="F114" i="17"/>
  <c r="O113" i="17"/>
  <c r="N113" i="17"/>
  <c r="M113" i="17"/>
  <c r="L113" i="17"/>
  <c r="K113" i="17"/>
  <c r="J113" i="17"/>
  <c r="I113" i="17"/>
  <c r="H113" i="17"/>
  <c r="G113" i="17"/>
  <c r="F113" i="17"/>
  <c r="O112" i="17"/>
  <c r="N112" i="17"/>
  <c r="M112" i="17"/>
  <c r="L112" i="17"/>
  <c r="K112" i="17"/>
  <c r="J112" i="17"/>
  <c r="I112" i="17"/>
  <c r="H112" i="17"/>
  <c r="G112" i="17"/>
  <c r="F112" i="17"/>
  <c r="O111" i="17"/>
  <c r="N111" i="17"/>
  <c r="M111" i="17"/>
  <c r="L111" i="17"/>
  <c r="K111" i="17"/>
  <c r="J111" i="17"/>
  <c r="I111" i="17"/>
  <c r="H111" i="17"/>
  <c r="G111" i="17"/>
  <c r="F111" i="17"/>
  <c r="O110" i="17"/>
  <c r="N110" i="17"/>
  <c r="M110" i="17"/>
  <c r="L110" i="17"/>
  <c r="K110" i="17"/>
  <c r="J110" i="17"/>
  <c r="I110" i="17"/>
  <c r="H110" i="17"/>
  <c r="G110" i="17"/>
  <c r="F110" i="17"/>
  <c r="O109" i="17"/>
  <c r="N109" i="17"/>
  <c r="M109" i="17"/>
  <c r="L109" i="17"/>
  <c r="K109" i="17"/>
  <c r="J109" i="17"/>
  <c r="I109" i="17"/>
  <c r="H109" i="17"/>
  <c r="G109" i="17"/>
  <c r="F109" i="17"/>
  <c r="O108" i="17"/>
  <c r="N108" i="17"/>
  <c r="M108" i="17"/>
  <c r="L108" i="17"/>
  <c r="K108" i="17"/>
  <c r="J108" i="17"/>
  <c r="I108" i="17"/>
  <c r="H108" i="17"/>
  <c r="G108" i="17"/>
  <c r="F108" i="17"/>
  <c r="O107" i="17"/>
  <c r="N107" i="17"/>
  <c r="M107" i="17"/>
  <c r="L107" i="17"/>
  <c r="K107" i="17"/>
  <c r="J107" i="17"/>
  <c r="I107" i="17"/>
  <c r="H107" i="17"/>
  <c r="G107" i="17"/>
  <c r="F107" i="17"/>
  <c r="O106" i="17"/>
  <c r="N106" i="17"/>
  <c r="M106" i="17"/>
  <c r="L106" i="17"/>
  <c r="K106" i="17"/>
  <c r="J106" i="17"/>
  <c r="I106" i="17"/>
  <c r="H106" i="17"/>
  <c r="G106" i="17"/>
  <c r="F106" i="17"/>
  <c r="O105" i="17"/>
  <c r="N105" i="17"/>
  <c r="M105" i="17"/>
  <c r="L105" i="17"/>
  <c r="K105" i="17"/>
  <c r="J105" i="17"/>
  <c r="I105" i="17"/>
  <c r="H105" i="17"/>
  <c r="G105" i="17"/>
  <c r="F105" i="17"/>
  <c r="O104" i="17"/>
  <c r="N104" i="17"/>
  <c r="M104" i="17"/>
  <c r="L104" i="17"/>
  <c r="K104" i="17"/>
  <c r="J104" i="17"/>
  <c r="I104" i="17"/>
  <c r="H104" i="17"/>
  <c r="G104" i="17"/>
  <c r="F104" i="17"/>
  <c r="O103" i="17"/>
  <c r="N103" i="17"/>
  <c r="M103" i="17"/>
  <c r="L103" i="17"/>
  <c r="K103" i="17"/>
  <c r="J103" i="17"/>
  <c r="I103" i="17"/>
  <c r="H103" i="17"/>
  <c r="G103" i="17"/>
  <c r="F103" i="17"/>
  <c r="O65" i="17"/>
  <c r="N65" i="17"/>
  <c r="M65" i="17"/>
  <c r="L65" i="17"/>
  <c r="K65" i="17"/>
  <c r="J65" i="17"/>
  <c r="I65" i="17"/>
  <c r="H65" i="17"/>
  <c r="G65" i="17"/>
  <c r="F65" i="17"/>
  <c r="O64" i="17"/>
  <c r="N64" i="17"/>
  <c r="M64" i="17"/>
  <c r="L64" i="17"/>
  <c r="K64" i="17"/>
  <c r="J64" i="17"/>
  <c r="I64" i="17"/>
  <c r="H64" i="17"/>
  <c r="G64" i="17"/>
  <c r="F64" i="17"/>
  <c r="O63" i="17"/>
  <c r="N63" i="17"/>
  <c r="M63" i="17"/>
  <c r="L63" i="17"/>
  <c r="K63" i="17"/>
  <c r="J63" i="17"/>
  <c r="I63" i="17"/>
  <c r="H63" i="17"/>
  <c r="G63" i="17"/>
  <c r="F63" i="17"/>
  <c r="O51" i="17"/>
  <c r="N51" i="17"/>
  <c r="M51" i="17"/>
  <c r="L51" i="17"/>
  <c r="K51" i="17"/>
  <c r="J51" i="17"/>
  <c r="I51" i="17"/>
  <c r="H51" i="17"/>
  <c r="G51" i="17"/>
  <c r="F51" i="17"/>
  <c r="O50" i="17"/>
  <c r="N50" i="17"/>
  <c r="M50" i="17"/>
  <c r="L50" i="17"/>
  <c r="K50" i="17"/>
  <c r="J50" i="17"/>
  <c r="I50" i="17"/>
  <c r="H50" i="17"/>
  <c r="G50" i="17"/>
  <c r="F50" i="17"/>
  <c r="O46" i="17"/>
  <c r="N46" i="17"/>
  <c r="M46" i="17"/>
  <c r="L46" i="17"/>
  <c r="K46" i="17"/>
  <c r="J46" i="17"/>
  <c r="I46" i="17"/>
  <c r="H46" i="17"/>
  <c r="G46" i="17"/>
  <c r="F46" i="17"/>
  <c r="O32" i="17"/>
  <c r="N32" i="17"/>
  <c r="M32" i="17"/>
  <c r="L32" i="17"/>
  <c r="K32" i="17"/>
  <c r="J32" i="17"/>
  <c r="I32" i="17"/>
  <c r="H32" i="17"/>
  <c r="G32" i="17"/>
  <c r="F32" i="17"/>
  <c r="F24" i="17"/>
  <c r="M15" i="17"/>
  <c r="M29" i="17" s="1"/>
  <c r="L15" i="17"/>
  <c r="L29" i="17" s="1"/>
  <c r="L31" i="17" s="1"/>
  <c r="I15" i="17"/>
  <c r="I29" i="17" s="1"/>
  <c r="H15" i="17"/>
  <c r="H29" i="17" s="1"/>
  <c r="O12" i="17"/>
  <c r="O15" i="17" s="1"/>
  <c r="O29" i="17" s="1"/>
  <c r="N12" i="17"/>
  <c r="N28" i="17" s="1"/>
  <c r="M12" i="17"/>
  <c r="M28" i="17" s="1"/>
  <c r="L12" i="17"/>
  <c r="L28" i="17" s="1"/>
  <c r="K12" i="17"/>
  <c r="K15" i="17" s="1"/>
  <c r="K29" i="17" s="1"/>
  <c r="J12" i="17"/>
  <c r="J15" i="17" s="1"/>
  <c r="J29" i="17" s="1"/>
  <c r="J31" i="17" s="1"/>
  <c r="I12" i="17"/>
  <c r="I28" i="17" s="1"/>
  <c r="H12" i="17"/>
  <c r="H28" i="17" s="1"/>
  <c r="G12" i="17"/>
  <c r="G15" i="17" s="1"/>
  <c r="G29" i="17" s="1"/>
  <c r="G31" i="17" s="1"/>
  <c r="F12" i="17"/>
  <c r="F28" i="17" s="1"/>
  <c r="F8" i="17"/>
  <c r="F25" i="17" s="1"/>
  <c r="F27" i="17" s="1"/>
  <c r="O7" i="17"/>
  <c r="O30" i="17" s="1"/>
  <c r="N7" i="17"/>
  <c r="N30" i="17" s="1"/>
  <c r="M7" i="17"/>
  <c r="M30" i="17" s="1"/>
  <c r="L7" i="17"/>
  <c r="L30" i="17" s="1"/>
  <c r="K7" i="17"/>
  <c r="K30" i="17" s="1"/>
  <c r="J7" i="17"/>
  <c r="J30" i="17" s="1"/>
  <c r="I7" i="17"/>
  <c r="I30" i="17" s="1"/>
  <c r="H7" i="17"/>
  <c r="H30" i="17" s="1"/>
  <c r="G7" i="17"/>
  <c r="G30" i="17" s="1"/>
  <c r="F7" i="17"/>
  <c r="F30" i="17" s="1"/>
  <c r="O6" i="17"/>
  <c r="O8" i="17" s="1"/>
  <c r="N6" i="17"/>
  <c r="N8" i="17" s="1"/>
  <c r="M6" i="17"/>
  <c r="M8" i="17" s="1"/>
  <c r="L6" i="17"/>
  <c r="L8" i="17" s="1"/>
  <c r="K6" i="17"/>
  <c r="K8" i="17" s="1"/>
  <c r="J6" i="17"/>
  <c r="J8" i="17" s="1"/>
  <c r="I6" i="17"/>
  <c r="I8" i="17" s="1"/>
  <c r="H6" i="17"/>
  <c r="H8" i="17" s="1"/>
  <c r="G6" i="17"/>
  <c r="G8" i="17" s="1"/>
  <c r="I15" i="16"/>
  <c r="K12" i="16"/>
  <c r="K15" i="16" s="1"/>
  <c r="K29" i="16" s="1"/>
  <c r="K31" i="16" s="1"/>
  <c r="J12" i="16"/>
  <c r="J15" i="16" s="1"/>
  <c r="J29" i="16" s="1"/>
  <c r="I12" i="16"/>
  <c r="K8" i="16"/>
  <c r="J8" i="16"/>
  <c r="K7" i="16"/>
  <c r="J7" i="16"/>
  <c r="J30" i="16" s="1"/>
  <c r="I7" i="16"/>
  <c r="I30" i="16" s="1"/>
  <c r="K6" i="16"/>
  <c r="J6" i="16"/>
  <c r="I6" i="16"/>
  <c r="I8" i="16" s="1"/>
  <c r="O120" i="16"/>
  <c r="N120" i="16"/>
  <c r="M120" i="16"/>
  <c r="L120" i="16"/>
  <c r="K120" i="16"/>
  <c r="J120" i="16"/>
  <c r="I120" i="16"/>
  <c r="H120" i="16"/>
  <c r="G120" i="16"/>
  <c r="F120" i="16"/>
  <c r="O116" i="16"/>
  <c r="N116" i="16"/>
  <c r="M116" i="16"/>
  <c r="L116" i="16"/>
  <c r="K116" i="16"/>
  <c r="J116" i="16"/>
  <c r="I116" i="16"/>
  <c r="H116" i="16"/>
  <c r="G116" i="16"/>
  <c r="F116" i="16"/>
  <c r="O115" i="16"/>
  <c r="N115" i="16"/>
  <c r="M115" i="16"/>
  <c r="L115" i="16"/>
  <c r="K115" i="16"/>
  <c r="J115" i="16"/>
  <c r="I115" i="16"/>
  <c r="H115" i="16"/>
  <c r="G115" i="16"/>
  <c r="F115" i="16"/>
  <c r="O114" i="16"/>
  <c r="N114" i="16"/>
  <c r="M114" i="16"/>
  <c r="L114" i="16"/>
  <c r="K114" i="16"/>
  <c r="J114" i="16"/>
  <c r="I114" i="16"/>
  <c r="H114" i="16"/>
  <c r="G114" i="16"/>
  <c r="F114" i="16"/>
  <c r="O113" i="16"/>
  <c r="N113" i="16"/>
  <c r="M113" i="16"/>
  <c r="L113" i="16"/>
  <c r="K113" i="16"/>
  <c r="J113" i="16"/>
  <c r="I113" i="16"/>
  <c r="H113" i="16"/>
  <c r="G113" i="16"/>
  <c r="F113" i="16"/>
  <c r="O112" i="16"/>
  <c r="N112" i="16"/>
  <c r="M112" i="16"/>
  <c r="L112" i="16"/>
  <c r="K112" i="16"/>
  <c r="J112" i="16"/>
  <c r="I112" i="16"/>
  <c r="H112" i="16"/>
  <c r="G112" i="16"/>
  <c r="F112" i="16"/>
  <c r="O111" i="16"/>
  <c r="N111" i="16"/>
  <c r="M111" i="16"/>
  <c r="L111" i="16"/>
  <c r="K111" i="16"/>
  <c r="J111" i="16"/>
  <c r="I111" i="16"/>
  <c r="H111" i="16"/>
  <c r="G111" i="16"/>
  <c r="F111" i="16"/>
  <c r="O110" i="16"/>
  <c r="N110" i="16"/>
  <c r="M110" i="16"/>
  <c r="L110" i="16"/>
  <c r="K110" i="16"/>
  <c r="J110" i="16"/>
  <c r="I110" i="16"/>
  <c r="H110" i="16"/>
  <c r="G110" i="16"/>
  <c r="F110" i="16"/>
  <c r="O109" i="16"/>
  <c r="N109" i="16"/>
  <c r="M109" i="16"/>
  <c r="L109" i="16"/>
  <c r="K109" i="16"/>
  <c r="J109" i="16"/>
  <c r="I109" i="16"/>
  <c r="H109" i="16"/>
  <c r="G109" i="16"/>
  <c r="F109" i="16"/>
  <c r="O108" i="16"/>
  <c r="N108" i="16"/>
  <c r="M108" i="16"/>
  <c r="L108" i="16"/>
  <c r="K108" i="16"/>
  <c r="J108" i="16"/>
  <c r="I108" i="16"/>
  <c r="H108" i="16"/>
  <c r="G108" i="16"/>
  <c r="F108" i="16"/>
  <c r="O107" i="16"/>
  <c r="N107" i="16"/>
  <c r="M107" i="16"/>
  <c r="L107" i="16"/>
  <c r="K107" i="16"/>
  <c r="J107" i="16"/>
  <c r="I107" i="16"/>
  <c r="H107" i="16"/>
  <c r="G107" i="16"/>
  <c r="F107" i="16"/>
  <c r="O106" i="16"/>
  <c r="N106" i="16"/>
  <c r="M106" i="16"/>
  <c r="L106" i="16"/>
  <c r="K106" i="16"/>
  <c r="J106" i="16"/>
  <c r="I106" i="16"/>
  <c r="H106" i="16"/>
  <c r="G106" i="16"/>
  <c r="F106" i="16"/>
  <c r="O105" i="16"/>
  <c r="N105" i="16"/>
  <c r="M105" i="16"/>
  <c r="L105" i="16"/>
  <c r="K105" i="16"/>
  <c r="J105" i="16"/>
  <c r="I105" i="16"/>
  <c r="H105" i="16"/>
  <c r="G105" i="16"/>
  <c r="F105" i="16"/>
  <c r="O104" i="16"/>
  <c r="N104" i="16"/>
  <c r="M104" i="16"/>
  <c r="L104" i="16"/>
  <c r="K104" i="16"/>
  <c r="J104" i="16"/>
  <c r="I104" i="16"/>
  <c r="H104" i="16"/>
  <c r="G104" i="16"/>
  <c r="F104" i="16"/>
  <c r="O103" i="16"/>
  <c r="N103" i="16"/>
  <c r="M103" i="16"/>
  <c r="L103" i="16"/>
  <c r="K103" i="16"/>
  <c r="J103" i="16"/>
  <c r="I103" i="16"/>
  <c r="H103" i="16"/>
  <c r="G103" i="16"/>
  <c r="F103" i="16"/>
  <c r="O65" i="16"/>
  <c r="N65" i="16"/>
  <c r="M65" i="16"/>
  <c r="L65" i="16"/>
  <c r="K65" i="16"/>
  <c r="J65" i="16"/>
  <c r="I65" i="16"/>
  <c r="H65" i="16"/>
  <c r="G65" i="16"/>
  <c r="F65" i="16"/>
  <c r="O64" i="16"/>
  <c r="N64" i="16"/>
  <c r="M64" i="16"/>
  <c r="L64" i="16"/>
  <c r="K64" i="16"/>
  <c r="J64" i="16"/>
  <c r="I64" i="16"/>
  <c r="H64" i="16"/>
  <c r="G64" i="16"/>
  <c r="F64" i="16"/>
  <c r="O63" i="16"/>
  <c r="N63" i="16"/>
  <c r="M63" i="16"/>
  <c r="L63" i="16"/>
  <c r="K63" i="16"/>
  <c r="J63" i="16"/>
  <c r="I63" i="16"/>
  <c r="H63" i="16"/>
  <c r="G63" i="16"/>
  <c r="F63" i="16"/>
  <c r="O51" i="16"/>
  <c r="N51" i="16"/>
  <c r="M51" i="16"/>
  <c r="L51" i="16"/>
  <c r="K51" i="16"/>
  <c r="J51" i="16"/>
  <c r="I51" i="16"/>
  <c r="H51" i="16"/>
  <c r="G51" i="16"/>
  <c r="F51" i="16"/>
  <c r="O50" i="16"/>
  <c r="N50" i="16"/>
  <c r="M50" i="16"/>
  <c r="L50" i="16"/>
  <c r="K50" i="16"/>
  <c r="J50" i="16"/>
  <c r="I50" i="16"/>
  <c r="H50" i="16"/>
  <c r="G50" i="16"/>
  <c r="F50" i="16"/>
  <c r="O46" i="16"/>
  <c r="N46" i="16"/>
  <c r="M46" i="16"/>
  <c r="L46" i="16"/>
  <c r="K46" i="16"/>
  <c r="J46" i="16"/>
  <c r="I46" i="16"/>
  <c r="H46" i="16"/>
  <c r="G46" i="16"/>
  <c r="F46" i="16"/>
  <c r="O32" i="16"/>
  <c r="N32" i="16"/>
  <c r="M32" i="16"/>
  <c r="L32" i="16"/>
  <c r="K32" i="16"/>
  <c r="J32" i="16"/>
  <c r="I32" i="16"/>
  <c r="H32" i="16"/>
  <c r="G32" i="16"/>
  <c r="F32" i="16"/>
  <c r="M15" i="16"/>
  <c r="M29" i="16" s="1"/>
  <c r="O12" i="16"/>
  <c r="O15" i="16" s="1"/>
  <c r="O29" i="16" s="1"/>
  <c r="O31" i="16" s="1"/>
  <c r="N12" i="16"/>
  <c r="N15" i="16" s="1"/>
  <c r="N29" i="16" s="1"/>
  <c r="M12" i="16"/>
  <c r="M28" i="16" s="1"/>
  <c r="L12" i="16"/>
  <c r="L28" i="16" s="1"/>
  <c r="I28" i="16"/>
  <c r="H12" i="16"/>
  <c r="H28" i="16" s="1"/>
  <c r="G12" i="16"/>
  <c r="G15" i="16" s="1"/>
  <c r="G29" i="16" s="1"/>
  <c r="G31" i="16" s="1"/>
  <c r="F12" i="16"/>
  <c r="F15" i="16" s="1"/>
  <c r="F29" i="16" s="1"/>
  <c r="F8" i="16"/>
  <c r="F25" i="16" s="1"/>
  <c r="O7" i="16"/>
  <c r="O30" i="16" s="1"/>
  <c r="N7" i="16"/>
  <c r="N30" i="16" s="1"/>
  <c r="M7" i="16"/>
  <c r="M30" i="16" s="1"/>
  <c r="L7" i="16"/>
  <c r="L30" i="16" s="1"/>
  <c r="K30" i="16"/>
  <c r="H7" i="16"/>
  <c r="H30" i="16" s="1"/>
  <c r="G7" i="16"/>
  <c r="G30" i="16" s="1"/>
  <c r="F7" i="16"/>
  <c r="F30" i="16" s="1"/>
  <c r="O6" i="16"/>
  <c r="O8" i="16" s="1"/>
  <c r="N6" i="16"/>
  <c r="N8" i="16" s="1"/>
  <c r="M6" i="16"/>
  <c r="M8" i="16" s="1"/>
  <c r="L6" i="16"/>
  <c r="L8" i="16" s="1"/>
  <c r="H6" i="16"/>
  <c r="H8" i="16" s="1"/>
  <c r="G6" i="16"/>
  <c r="G8" i="16" s="1"/>
  <c r="F103" i="11"/>
  <c r="G65" i="11"/>
  <c r="H65" i="11"/>
  <c r="I65" i="11"/>
  <c r="J65" i="11"/>
  <c r="K65" i="11"/>
  <c r="L65" i="11"/>
  <c r="M65" i="11"/>
  <c r="N65" i="11"/>
  <c r="O65" i="11"/>
  <c r="F65" i="11"/>
  <c r="G64" i="11"/>
  <c r="H64" i="11"/>
  <c r="I64" i="11"/>
  <c r="J64" i="11"/>
  <c r="K64" i="11"/>
  <c r="L64" i="11"/>
  <c r="M64" i="11"/>
  <c r="N64" i="11"/>
  <c r="O64" i="11"/>
  <c r="F64" i="11"/>
  <c r="G63" i="11"/>
  <c r="H63" i="11"/>
  <c r="I63" i="11"/>
  <c r="J63" i="11"/>
  <c r="K63" i="11"/>
  <c r="L63" i="11"/>
  <c r="M63" i="11"/>
  <c r="N63" i="11"/>
  <c r="O63" i="11"/>
  <c r="F63" i="11"/>
  <c r="G51" i="11"/>
  <c r="H51" i="11"/>
  <c r="I51" i="11"/>
  <c r="J51" i="11"/>
  <c r="K51" i="11"/>
  <c r="L51" i="11"/>
  <c r="M51" i="11"/>
  <c r="N51" i="11"/>
  <c r="O51" i="11"/>
  <c r="G50" i="11"/>
  <c r="H50" i="11"/>
  <c r="I50" i="11"/>
  <c r="J50" i="11"/>
  <c r="K50" i="11"/>
  <c r="L50" i="11"/>
  <c r="M50" i="11"/>
  <c r="N50" i="11"/>
  <c r="O50" i="11"/>
  <c r="F51" i="11"/>
  <c r="G32" i="11"/>
  <c r="H32" i="11"/>
  <c r="I32" i="11"/>
  <c r="J32" i="11"/>
  <c r="K32" i="11"/>
  <c r="L32" i="11"/>
  <c r="M32" i="11"/>
  <c r="N32" i="11"/>
  <c r="O32" i="11"/>
  <c r="G31" i="11"/>
  <c r="H31" i="11"/>
  <c r="I31" i="11"/>
  <c r="J31" i="11"/>
  <c r="K31" i="11"/>
  <c r="L31" i="11"/>
  <c r="M31" i="11"/>
  <c r="N31" i="11"/>
  <c r="O31" i="11"/>
  <c r="G30" i="11"/>
  <c r="H30" i="11"/>
  <c r="I30" i="11"/>
  <c r="J30" i="11"/>
  <c r="K30" i="11"/>
  <c r="L30" i="11"/>
  <c r="M30" i="11"/>
  <c r="N30" i="11"/>
  <c r="O30" i="11"/>
  <c r="G29" i="11"/>
  <c r="H29" i="11"/>
  <c r="I29" i="11"/>
  <c r="J29" i="11"/>
  <c r="K29" i="11"/>
  <c r="L29" i="11"/>
  <c r="M29" i="11"/>
  <c r="N29" i="11"/>
  <c r="O29" i="11"/>
  <c r="G28" i="11"/>
  <c r="H28" i="11"/>
  <c r="I28" i="11"/>
  <c r="J28" i="11"/>
  <c r="K28" i="11"/>
  <c r="L28" i="11"/>
  <c r="M28" i="11"/>
  <c r="N28" i="11"/>
  <c r="O28" i="11"/>
  <c r="G27" i="11"/>
  <c r="H27" i="11"/>
  <c r="I27" i="11"/>
  <c r="J27" i="11"/>
  <c r="K27" i="11"/>
  <c r="L27" i="11"/>
  <c r="M27" i="11"/>
  <c r="N27" i="11"/>
  <c r="O27" i="11"/>
  <c r="G25" i="11"/>
  <c r="H25" i="11"/>
  <c r="I25" i="11"/>
  <c r="J25" i="11"/>
  <c r="K25" i="11"/>
  <c r="L25" i="11"/>
  <c r="M25" i="11"/>
  <c r="N25" i="11"/>
  <c r="O25" i="11"/>
  <c r="H24" i="11"/>
  <c r="I24" i="11"/>
  <c r="J24" i="11"/>
  <c r="K24" i="11"/>
  <c r="L24" i="11"/>
  <c r="M24" i="11"/>
  <c r="N24" i="11"/>
  <c r="O24" i="11"/>
  <c r="I38" i="4"/>
  <c r="I68" i="4"/>
  <c r="I28" i="4"/>
  <c r="K31" i="17" l="1"/>
  <c r="G25" i="18"/>
  <c r="G24" i="18"/>
  <c r="K25" i="18"/>
  <c r="K27" i="18" s="1"/>
  <c r="K24" i="18"/>
  <c r="O25" i="18"/>
  <c r="O24" i="18"/>
  <c r="H24" i="18"/>
  <c r="H25" i="18"/>
  <c r="H27" i="18" s="1"/>
  <c r="L24" i="18"/>
  <c r="L25" i="18"/>
  <c r="L27" i="18" s="1"/>
  <c r="G31" i="18"/>
  <c r="K31" i="18"/>
  <c r="O31" i="18"/>
  <c r="M31" i="18"/>
  <c r="I24" i="18"/>
  <c r="I25" i="18"/>
  <c r="M24" i="18"/>
  <c r="M25" i="18"/>
  <c r="J25" i="18"/>
  <c r="J27" i="18" s="1"/>
  <c r="J24" i="18"/>
  <c r="N25" i="18"/>
  <c r="N24" i="18"/>
  <c r="I31" i="18"/>
  <c r="F28" i="18"/>
  <c r="J28" i="18"/>
  <c r="N28" i="18"/>
  <c r="G28" i="18"/>
  <c r="K28" i="18"/>
  <c r="O28" i="18"/>
  <c r="G25" i="17"/>
  <c r="G24" i="17"/>
  <c r="H24" i="17"/>
  <c r="H25" i="17"/>
  <c r="L24" i="17"/>
  <c r="L25" i="17"/>
  <c r="O31" i="17"/>
  <c r="M31" i="17"/>
  <c r="I24" i="17"/>
  <c r="I25" i="17"/>
  <c r="M24" i="17"/>
  <c r="M25" i="17"/>
  <c r="H31" i="17"/>
  <c r="K25" i="17"/>
  <c r="K24" i="17"/>
  <c r="O25" i="17"/>
  <c r="O27" i="17" s="1"/>
  <c r="O24" i="17"/>
  <c r="J24" i="17"/>
  <c r="J25" i="17"/>
  <c r="J27" i="17" s="1"/>
  <c r="N24" i="17"/>
  <c r="N25" i="17"/>
  <c r="I31" i="17"/>
  <c r="J28" i="17"/>
  <c r="G28" i="17"/>
  <c r="O28" i="17"/>
  <c r="F15" i="17"/>
  <c r="F29" i="17" s="1"/>
  <c r="F31" i="17" s="1"/>
  <c r="N15" i="17"/>
  <c r="N29" i="17" s="1"/>
  <c r="N31" i="17" s="1"/>
  <c r="K28" i="17"/>
  <c r="I29" i="16"/>
  <c r="L24" i="16"/>
  <c r="L25" i="16"/>
  <c r="L27" i="16" s="1"/>
  <c r="G25" i="16"/>
  <c r="G27" i="16" s="1"/>
  <c r="G24" i="16"/>
  <c r="K25" i="16"/>
  <c r="K24" i="16"/>
  <c r="O25" i="16"/>
  <c r="O24" i="16"/>
  <c r="F31" i="16"/>
  <c r="J31" i="16"/>
  <c r="N31" i="16"/>
  <c r="H24" i="16"/>
  <c r="H25" i="16"/>
  <c r="I24" i="16"/>
  <c r="I25" i="16"/>
  <c r="M24" i="16"/>
  <c r="M25" i="16"/>
  <c r="M27" i="16" s="1"/>
  <c r="I31" i="16"/>
  <c r="J25" i="16"/>
  <c r="J24" i="16"/>
  <c r="N25" i="16"/>
  <c r="N27" i="16" s="1"/>
  <c r="N24" i="16"/>
  <c r="F27" i="16"/>
  <c r="M31" i="16"/>
  <c r="G28" i="16"/>
  <c r="H15" i="16"/>
  <c r="H29" i="16" s="1"/>
  <c r="H31" i="16" s="1"/>
  <c r="L15" i="16"/>
  <c r="L29" i="16" s="1"/>
  <c r="L31" i="16" s="1"/>
  <c r="F24" i="16"/>
  <c r="F28" i="16"/>
  <c r="J28" i="16"/>
  <c r="N28" i="16"/>
  <c r="O28" i="16"/>
  <c r="K28" i="16"/>
  <c r="L8" i="3"/>
  <c r="I8" i="3"/>
  <c r="H8" i="3"/>
  <c r="AN22" i="3"/>
  <c r="F8" i="3"/>
  <c r="O8" i="3"/>
  <c r="K8" i="3"/>
  <c r="G8" i="3"/>
  <c r="J8" i="3"/>
  <c r="M8" i="3"/>
  <c r="E1" i="3"/>
  <c r="G4" i="3"/>
  <c r="H4" i="3"/>
  <c r="I4" i="3"/>
  <c r="J4" i="3"/>
  <c r="K4" i="3"/>
  <c r="L4" i="3"/>
  <c r="M4" i="3"/>
  <c r="N4" i="3"/>
  <c r="O4" i="3"/>
  <c r="F4" i="3"/>
  <c r="N8" i="3"/>
  <c r="G6" i="3"/>
  <c r="H6" i="3"/>
  <c r="I6" i="3"/>
  <c r="J6" i="3"/>
  <c r="K6" i="3"/>
  <c r="L6" i="3"/>
  <c r="M6" i="3"/>
  <c r="N6" i="3"/>
  <c r="O6" i="3"/>
  <c r="F6" i="3"/>
  <c r="I48" i="4"/>
  <c r="O27" i="18" l="1"/>
  <c r="I27" i="18"/>
  <c r="N27" i="18"/>
  <c r="M27" i="18"/>
  <c r="G27" i="18"/>
  <c r="I27" i="17"/>
  <c r="H27" i="17"/>
  <c r="N27" i="17"/>
  <c r="M27" i="17"/>
  <c r="L27" i="17"/>
  <c r="G27" i="17"/>
  <c r="K27" i="16"/>
  <c r="J27" i="16"/>
  <c r="H27" i="16"/>
  <c r="O27" i="16"/>
  <c r="I27" i="16"/>
  <c r="M7" i="3"/>
  <c r="J7" i="3"/>
  <c r="I7" i="3"/>
  <c r="K7" i="3"/>
  <c r="G7" i="3"/>
  <c r="F7" i="3"/>
  <c r="O7" i="3"/>
  <c r="N7" i="3"/>
  <c r="H7" i="3" l="1"/>
  <c r="L7" i="3"/>
  <c r="H6" i="11" l="1"/>
  <c r="I6" i="11"/>
  <c r="J6" i="11"/>
  <c r="K6" i="11"/>
  <c r="L6" i="11"/>
  <c r="M6" i="11"/>
  <c r="N6" i="11"/>
  <c r="O6" i="11"/>
  <c r="H8" i="11"/>
  <c r="I8" i="11"/>
  <c r="J8" i="11"/>
  <c r="K8" i="11"/>
  <c r="L8" i="11"/>
  <c r="M8" i="11"/>
  <c r="N8" i="11"/>
  <c r="O8" i="11"/>
  <c r="AW3" i="3" l="1"/>
  <c r="AW122" i="3" l="1"/>
  <c r="AL14" i="3" s="1"/>
  <c r="AW58" i="3"/>
  <c r="AW5" i="3"/>
  <c r="AW9" i="3"/>
  <c r="AW13" i="3"/>
  <c r="AW17" i="3"/>
  <c r="AW21" i="3"/>
  <c r="AW25" i="3"/>
  <c r="AW29" i="3"/>
  <c r="AW33" i="3"/>
  <c r="AL17" i="3" s="1"/>
  <c r="AW37" i="3"/>
  <c r="AW41" i="3"/>
  <c r="AW45" i="3"/>
  <c r="AW49" i="3"/>
  <c r="AW53" i="3"/>
  <c r="AW57" i="3"/>
  <c r="AW61" i="3"/>
  <c r="AW65" i="3"/>
  <c r="AL6" i="3" s="1"/>
  <c r="AP26" i="3" s="1"/>
  <c r="AW69" i="3"/>
  <c r="AW73" i="3"/>
  <c r="AW77" i="3"/>
  <c r="AW81" i="3"/>
  <c r="AW85" i="3"/>
  <c r="AW89" i="3"/>
  <c r="AW93" i="3"/>
  <c r="AW97" i="3"/>
  <c r="AW101" i="3"/>
  <c r="AW105" i="3"/>
  <c r="AW109" i="3"/>
  <c r="AW113" i="3"/>
  <c r="AW117" i="3"/>
  <c r="AW121" i="3"/>
  <c r="AW6" i="3"/>
  <c r="AW10" i="3"/>
  <c r="AW14" i="3"/>
  <c r="AW18" i="3"/>
  <c r="AW22" i="3"/>
  <c r="AW26" i="3"/>
  <c r="AW30" i="3"/>
  <c r="AW34" i="3"/>
  <c r="AW38" i="3"/>
  <c r="AW42" i="3"/>
  <c r="AW46" i="3"/>
  <c r="AW50" i="3"/>
  <c r="AW54" i="3"/>
  <c r="AW62" i="3"/>
  <c r="AW66" i="3"/>
  <c r="AW70" i="3"/>
  <c r="AW74" i="3"/>
  <c r="AW78" i="3"/>
  <c r="AW82" i="3"/>
  <c r="AW86" i="3"/>
  <c r="AW90" i="3"/>
  <c r="AW94" i="3"/>
  <c r="AW98" i="3"/>
  <c r="AW102" i="3"/>
  <c r="AW106" i="3"/>
  <c r="AW110" i="3"/>
  <c r="AW114" i="3"/>
  <c r="AW118" i="3"/>
  <c r="AR38" i="3"/>
  <c r="AW7" i="3"/>
  <c r="AW11" i="3"/>
  <c r="AW15" i="3"/>
  <c r="AW19" i="3"/>
  <c r="AW23" i="3"/>
  <c r="AW27" i="3"/>
  <c r="AW31" i="3"/>
  <c r="AL18" i="3" s="1"/>
  <c r="AP47" i="3" s="1"/>
  <c r="AW35" i="3"/>
  <c r="AW39" i="3"/>
  <c r="AW43" i="3"/>
  <c r="AW47" i="3"/>
  <c r="AW51" i="3"/>
  <c r="AW55" i="3"/>
  <c r="AW59" i="3"/>
  <c r="AW63" i="3"/>
  <c r="AW67" i="3"/>
  <c r="AW71" i="3"/>
  <c r="AW75" i="3"/>
  <c r="AW79" i="3"/>
  <c r="AW83" i="3"/>
  <c r="AW87" i="3"/>
  <c r="AW16" i="3"/>
  <c r="AW32" i="3"/>
  <c r="AL19" i="3" s="1"/>
  <c r="AR47" i="3" s="1"/>
  <c r="AW48" i="3"/>
  <c r="AW64" i="3"/>
  <c r="AW80" i="3"/>
  <c r="AW92" i="3"/>
  <c r="AW100" i="3"/>
  <c r="AW108" i="3"/>
  <c r="AW116" i="3"/>
  <c r="AW20" i="3"/>
  <c r="AW36" i="3"/>
  <c r="AW52" i="3"/>
  <c r="AW68" i="3"/>
  <c r="AW84" i="3"/>
  <c r="AW95" i="3"/>
  <c r="AW103" i="3"/>
  <c r="AW111" i="3"/>
  <c r="AW119" i="3"/>
  <c r="AW8" i="3"/>
  <c r="AW24" i="3"/>
  <c r="AW40" i="3"/>
  <c r="AW56" i="3"/>
  <c r="AW72" i="3"/>
  <c r="AW88" i="3"/>
  <c r="AW96" i="3"/>
  <c r="AW104" i="3"/>
  <c r="AW112" i="3"/>
  <c r="AW120" i="3"/>
  <c r="AW12" i="3"/>
  <c r="AW28" i="3"/>
  <c r="AW44" i="3"/>
  <c r="AW60" i="3"/>
  <c r="AW76" i="3"/>
  <c r="AW91" i="3"/>
  <c r="AW99" i="3"/>
  <c r="AW107" i="3"/>
  <c r="AW115" i="3"/>
  <c r="AW4" i="3"/>
  <c r="AL10" i="3" l="1"/>
  <c r="AR32" i="3" s="1"/>
  <c r="AP44" i="3"/>
  <c r="AL15" i="3"/>
  <c r="AP41" i="3" s="1"/>
  <c r="AL20" i="3"/>
  <c r="AR41" i="3" s="1"/>
  <c r="AL7" i="3"/>
  <c r="AP29" i="3" s="1"/>
  <c r="AL13" i="3"/>
  <c r="AR35" i="3" s="1"/>
  <c r="AL16" i="3"/>
  <c r="AL8" i="3"/>
  <c r="AL9" i="3"/>
  <c r="G116" i="11"/>
  <c r="H116" i="11"/>
  <c r="I116" i="11"/>
  <c r="J116" i="11"/>
  <c r="K116" i="11"/>
  <c r="L116" i="11"/>
  <c r="M116" i="11"/>
  <c r="N116" i="11"/>
  <c r="O116" i="11"/>
  <c r="F116" i="11"/>
  <c r="G109" i="11"/>
  <c r="H109" i="11"/>
  <c r="I109" i="11"/>
  <c r="J109" i="11"/>
  <c r="K109" i="11"/>
  <c r="L109" i="11"/>
  <c r="M109" i="11"/>
  <c r="N109" i="11"/>
  <c r="O109" i="11"/>
  <c r="F109" i="11"/>
  <c r="AL12" i="3" l="1"/>
  <c r="AP35" i="3" s="1"/>
  <c r="AN41" i="3"/>
  <c r="AP32" i="3"/>
  <c r="AN29" i="3"/>
  <c r="AL11" i="3"/>
  <c r="AN32" i="3" s="1"/>
  <c r="G46" i="11"/>
  <c r="H46" i="11"/>
  <c r="I46" i="11"/>
  <c r="J46" i="11"/>
  <c r="K46" i="11"/>
  <c r="L46" i="11"/>
  <c r="M46" i="11"/>
  <c r="N46" i="11"/>
  <c r="O46" i="11"/>
  <c r="O120" i="11" l="1"/>
  <c r="N120" i="11"/>
  <c r="M120" i="11"/>
  <c r="L120" i="11"/>
  <c r="K120" i="11"/>
  <c r="J120" i="11"/>
  <c r="I120" i="11"/>
  <c r="H120" i="11"/>
  <c r="G120" i="11"/>
  <c r="F120" i="11"/>
  <c r="O115" i="11"/>
  <c r="N115" i="11"/>
  <c r="M115" i="11"/>
  <c r="L115" i="11"/>
  <c r="K115" i="11"/>
  <c r="J115" i="11"/>
  <c r="I115" i="11"/>
  <c r="H115" i="11"/>
  <c r="G115" i="11"/>
  <c r="F115" i="11"/>
  <c r="O114" i="11"/>
  <c r="N114" i="11"/>
  <c r="M114" i="11"/>
  <c r="L114" i="11"/>
  <c r="K114" i="11"/>
  <c r="J114" i="11"/>
  <c r="I114" i="11"/>
  <c r="H114" i="11"/>
  <c r="G114" i="11"/>
  <c r="F114" i="11"/>
  <c r="O113" i="11"/>
  <c r="N113" i="11"/>
  <c r="M113" i="11"/>
  <c r="L113" i="11"/>
  <c r="K113" i="11"/>
  <c r="J113" i="11"/>
  <c r="I113" i="11"/>
  <c r="H113" i="11"/>
  <c r="G113" i="11"/>
  <c r="F113" i="11"/>
  <c r="O112" i="11"/>
  <c r="N112" i="11"/>
  <c r="M112" i="11"/>
  <c r="L112" i="11"/>
  <c r="K112" i="11"/>
  <c r="J112" i="11"/>
  <c r="I112" i="11"/>
  <c r="H112" i="11"/>
  <c r="G112" i="11"/>
  <c r="F112" i="11"/>
  <c r="O111" i="11"/>
  <c r="N111" i="11"/>
  <c r="M111" i="11"/>
  <c r="L111" i="11"/>
  <c r="K111" i="11"/>
  <c r="J111" i="11"/>
  <c r="I111" i="11"/>
  <c r="H111" i="11"/>
  <c r="G111" i="11"/>
  <c r="F111" i="11"/>
  <c r="O110" i="11"/>
  <c r="N110" i="11"/>
  <c r="M110" i="11"/>
  <c r="L110" i="11"/>
  <c r="K110" i="11"/>
  <c r="J110" i="11"/>
  <c r="I110" i="11"/>
  <c r="H110" i="11"/>
  <c r="G110" i="11"/>
  <c r="F110" i="11"/>
  <c r="O108" i="11"/>
  <c r="N108" i="11"/>
  <c r="M108" i="11"/>
  <c r="L108" i="11"/>
  <c r="K108" i="11"/>
  <c r="J108" i="11"/>
  <c r="I108" i="11"/>
  <c r="H108" i="11"/>
  <c r="G108" i="11"/>
  <c r="F108" i="11"/>
  <c r="O107" i="11"/>
  <c r="N107" i="11"/>
  <c r="M107" i="11"/>
  <c r="L107" i="11"/>
  <c r="K107" i="11"/>
  <c r="J107" i="11"/>
  <c r="I107" i="11"/>
  <c r="H107" i="11"/>
  <c r="G107" i="11"/>
  <c r="F107" i="11"/>
  <c r="O106" i="11"/>
  <c r="N106" i="11"/>
  <c r="M106" i="11"/>
  <c r="L106" i="11"/>
  <c r="K106" i="11"/>
  <c r="J106" i="11"/>
  <c r="I106" i="11"/>
  <c r="H106" i="11"/>
  <c r="G106" i="11"/>
  <c r="F106" i="11"/>
  <c r="O105" i="11"/>
  <c r="N105" i="11"/>
  <c r="M105" i="11"/>
  <c r="L105" i="11"/>
  <c r="K105" i="11"/>
  <c r="J105" i="11"/>
  <c r="I105" i="11"/>
  <c r="H105" i="11"/>
  <c r="G105" i="11"/>
  <c r="F105" i="11"/>
  <c r="O104" i="11"/>
  <c r="N104" i="11"/>
  <c r="M104" i="11"/>
  <c r="L104" i="11"/>
  <c r="K104" i="11"/>
  <c r="J104" i="11"/>
  <c r="I104" i="11"/>
  <c r="H104" i="11"/>
  <c r="G104" i="11"/>
  <c r="F104" i="11"/>
  <c r="O103" i="11"/>
  <c r="N103" i="11"/>
  <c r="M103" i="11"/>
  <c r="L103" i="11"/>
  <c r="K103" i="11"/>
  <c r="J103" i="11"/>
  <c r="I103" i="11"/>
  <c r="H103" i="11"/>
  <c r="G103" i="11"/>
  <c r="O12" i="11"/>
  <c r="O15" i="11" s="1"/>
  <c r="N12" i="11"/>
  <c r="N15" i="11" s="1"/>
  <c r="M12" i="11"/>
  <c r="L12" i="11"/>
  <c r="K12" i="11"/>
  <c r="K15" i="11" s="1"/>
  <c r="J12" i="11"/>
  <c r="J15" i="11" s="1"/>
  <c r="I12" i="11"/>
  <c r="H12" i="11"/>
  <c r="G12" i="11"/>
  <c r="G15" i="11" s="1"/>
  <c r="F12" i="11"/>
  <c r="F15" i="11" s="1"/>
  <c r="O7" i="11"/>
  <c r="N7" i="11"/>
  <c r="M7" i="11"/>
  <c r="L7" i="11"/>
  <c r="K7" i="11"/>
  <c r="J7" i="11"/>
  <c r="I7" i="11"/>
  <c r="H7" i="11"/>
  <c r="G7" i="11"/>
  <c r="G6" i="11"/>
  <c r="G8" i="11" s="1"/>
  <c r="H15" i="11" l="1"/>
  <c r="L15" i="11"/>
  <c r="I15" i="11"/>
  <c r="M15" i="11"/>
  <c r="F46" i="11" l="1"/>
</calcChain>
</file>

<file path=xl/sharedStrings.xml><?xml version="1.0" encoding="utf-8"?>
<sst xmlns="http://schemas.openxmlformats.org/spreadsheetml/2006/main" count="959" uniqueCount="243">
  <si>
    <t>Company name</t>
  </si>
  <si>
    <t>Charts</t>
  </si>
  <si>
    <t>RMB Thousand</t>
  </si>
  <si>
    <t>Accounts</t>
  </si>
  <si>
    <t>Underwriting Performance</t>
  </si>
  <si>
    <t>Premiums</t>
  </si>
  <si>
    <t>保险业务收入(GWP)</t>
  </si>
  <si>
    <t>分出保费</t>
  </si>
  <si>
    <t>未到期责任准备金</t>
  </si>
  <si>
    <t>已赚保费(NEP)</t>
  </si>
  <si>
    <t>GEP</t>
  </si>
  <si>
    <t>Claims</t>
  </si>
  <si>
    <t>赔付支出</t>
  </si>
  <si>
    <t>摊回赔付支出</t>
  </si>
  <si>
    <t>Net claims paid</t>
  </si>
  <si>
    <t>提取未决赔款准备金(保险责任准备金）</t>
  </si>
  <si>
    <t>摊回未决赔款准备金</t>
  </si>
  <si>
    <t>Net claims incurred</t>
  </si>
  <si>
    <t>提取保费准备金</t>
  </si>
  <si>
    <t>Expenses</t>
  </si>
  <si>
    <t>分保费用</t>
  </si>
  <si>
    <t>营业税金及附加</t>
  </si>
  <si>
    <t>手续费支出</t>
  </si>
  <si>
    <t>业务及管理费</t>
  </si>
  <si>
    <t>摊回分保费用</t>
  </si>
  <si>
    <t>Note:B-R有分入，无分出</t>
  </si>
  <si>
    <t>Ratios</t>
  </si>
  <si>
    <t>Before Re</t>
  </si>
  <si>
    <t>Paid loss ratio</t>
  </si>
  <si>
    <t>Incurred loss ratio</t>
  </si>
  <si>
    <t>Expense ratio</t>
  </si>
  <si>
    <t>Combined ratio</t>
  </si>
  <si>
    <t>After Re</t>
  </si>
  <si>
    <t>Ceded ratio</t>
  </si>
  <si>
    <t>Investment Performance</t>
  </si>
  <si>
    <t>Investment Assets</t>
  </si>
  <si>
    <t>以公允价值计量且其变动计入当期损益的金融资产（包括交易性金融资产）</t>
  </si>
  <si>
    <t>衍生金融工具</t>
  </si>
  <si>
    <t>可供出售金融资产</t>
  </si>
  <si>
    <t>持有至到期投资</t>
  </si>
  <si>
    <t>买入返售金融资产</t>
  </si>
  <si>
    <t>定期存款</t>
  </si>
  <si>
    <t>贷款及应收款项</t>
  </si>
  <si>
    <t>Investment income</t>
  </si>
  <si>
    <t>利息收入</t>
  </si>
  <si>
    <t>股息收入</t>
  </si>
  <si>
    <t>其他</t>
  </si>
  <si>
    <t>投资收益</t>
  </si>
  <si>
    <t>投资收益率（不含公允价值变动损益）</t>
  </si>
  <si>
    <t>投资收益率（含公允价值变动损益）</t>
  </si>
  <si>
    <t>General Operating Analysis</t>
  </si>
  <si>
    <t>Indicators</t>
  </si>
  <si>
    <t>总资产</t>
  </si>
  <si>
    <t>总负债</t>
  </si>
  <si>
    <t>所有者权益</t>
  </si>
  <si>
    <t>净利润</t>
  </si>
  <si>
    <t>ROE</t>
  </si>
  <si>
    <t>LoB Performance</t>
  </si>
  <si>
    <t>GWP</t>
  </si>
  <si>
    <t>机动车辆险</t>
  </si>
  <si>
    <t>责任险</t>
  </si>
  <si>
    <t>货运险</t>
  </si>
  <si>
    <t>意健险</t>
  </si>
  <si>
    <t>农险</t>
  </si>
  <si>
    <t>Paid loss</t>
  </si>
  <si>
    <t>Reserves</t>
  </si>
  <si>
    <t>未到期+未决</t>
  </si>
  <si>
    <t>Profit</t>
  </si>
  <si>
    <t>Paid Loss ratio</t>
  </si>
  <si>
    <t>paid loss/GWP</t>
  </si>
  <si>
    <t>1-profit/GWP</t>
  </si>
  <si>
    <t>平安</t>
  </si>
  <si>
    <t>BS</t>
  </si>
  <si>
    <t>IS</t>
  </si>
  <si>
    <t>以公允价值计量且其变动计入当期损益的金融资产</t>
  </si>
  <si>
    <t>衍生金融资产</t>
  </si>
  <si>
    <t>应收保费</t>
  </si>
  <si>
    <t>应收分保帐款</t>
  </si>
  <si>
    <t>应收款项类投资</t>
  </si>
  <si>
    <t>贷款及应收款（应收保费、应收分保帐款、次级债及债权计划、其他应收款项等）</t>
  </si>
  <si>
    <t>占联营公司和合营公司的净收益</t>
  </si>
  <si>
    <t>卖出回购证券利息（抵减项）</t>
  </si>
  <si>
    <t>公允价值变动损益</t>
  </si>
  <si>
    <t>卖出回购金融资产(负债端)</t>
  </si>
  <si>
    <t>PICC</t>
  </si>
  <si>
    <t>交易性金融资产</t>
  </si>
  <si>
    <t>贷款和应收款项</t>
  </si>
  <si>
    <t>应占联营企业收益</t>
  </si>
  <si>
    <t>子公司处置收益</t>
  </si>
  <si>
    <t>归入贷款及应收款项类的投资</t>
  </si>
  <si>
    <t>投资性房地产</t>
  </si>
  <si>
    <t>卖出回购金融资产款(负债端)</t>
  </si>
  <si>
    <t>CPIC</t>
  </si>
  <si>
    <t>买入返售金融资产利息收入</t>
  </si>
  <si>
    <t>对联营企业和合营企业的投资损失</t>
  </si>
  <si>
    <t>保险业务收入</t>
  </si>
  <si>
    <t>其他投资资产</t>
  </si>
  <si>
    <t>账户说明：</t>
  </si>
  <si>
    <t>Investment Asset</t>
  </si>
  <si>
    <t>以公允价值计量且其变动计入当期损益的金融资产（交易性金融资产）</t>
  </si>
  <si>
    <t>Gross written premium</t>
  </si>
  <si>
    <t>Gross change in UPR</t>
  </si>
  <si>
    <t>Net change in UPR</t>
  </si>
  <si>
    <t>Gross earned premium</t>
  </si>
  <si>
    <t>Net earned premium</t>
  </si>
  <si>
    <t>Gross claims incurred</t>
  </si>
  <si>
    <t>赔付支出+提取保险责任准备金</t>
  </si>
  <si>
    <t>赔付支出-摊回赔付支出+提取保险责任准备金-摊回保险责任准备金</t>
  </si>
  <si>
    <t>最低资本</t>
  </si>
  <si>
    <t>实际资本</t>
  </si>
  <si>
    <t>Solvency Ratio</t>
  </si>
  <si>
    <t>Combined ratio(Before Re)</t>
  </si>
  <si>
    <t>Combined ratio(After Re)</t>
  </si>
  <si>
    <t>Solvency ratio</t>
  </si>
  <si>
    <t>未到期责任准备金之差（两年差值）-Balance sheet</t>
  </si>
  <si>
    <t>提取未到期责任准备金 -Income statement</t>
  </si>
  <si>
    <t>再保前未到期责任准备金变动 (Gross change in UPR)</t>
  </si>
  <si>
    <t>提取未到期责任准备金 (Net change in UPR)</t>
  </si>
  <si>
    <t>Year</t>
  </si>
  <si>
    <t>Reinsurance premium ceded</t>
  </si>
  <si>
    <t>UPR</t>
  </si>
  <si>
    <t>NEP</t>
  </si>
  <si>
    <t>Gross claims paid</t>
  </si>
  <si>
    <t>Paid losses recoverable from reinsurers</t>
  </si>
  <si>
    <t>Gross change in loss and loss adjustment expense reserves</t>
  </si>
  <si>
    <t>Reinsurers' share in LR</t>
  </si>
  <si>
    <t>Net change in premium reserve</t>
  </si>
  <si>
    <t>Reinsurance expense</t>
  </si>
  <si>
    <t>Business tax</t>
  </si>
  <si>
    <t>Commission expense</t>
  </si>
  <si>
    <t>Administrative expense</t>
  </si>
  <si>
    <t>Refund of reinsurance premium ceded</t>
  </si>
  <si>
    <t>Trading securities</t>
  </si>
  <si>
    <t>Derivatives</t>
  </si>
  <si>
    <t>Available for sale</t>
  </si>
  <si>
    <t>Hold to maturity</t>
  </si>
  <si>
    <t>Repurchase</t>
  </si>
  <si>
    <t>Term deposits</t>
  </si>
  <si>
    <t>Others</t>
  </si>
  <si>
    <t>Loan and receivables</t>
  </si>
  <si>
    <t>Interest income</t>
  </si>
  <si>
    <t>Dividends income</t>
  </si>
  <si>
    <t>Net realized or unrealized gains/losses</t>
  </si>
  <si>
    <t>Investment property</t>
  </si>
  <si>
    <t>DA ratio</t>
  </si>
  <si>
    <t xml:space="preserve">DE ratio </t>
  </si>
  <si>
    <t>Net investment margin</t>
  </si>
  <si>
    <t>Gross investment margin</t>
  </si>
  <si>
    <t>Total assets</t>
  </si>
  <si>
    <t>Total liabilities</t>
  </si>
  <si>
    <t>Equity</t>
  </si>
  <si>
    <t>Net income</t>
  </si>
  <si>
    <t>Motor</t>
  </si>
  <si>
    <t>Enterprise property</t>
  </si>
  <si>
    <t>Liabilities</t>
  </si>
  <si>
    <t>Cargo</t>
  </si>
  <si>
    <t>Accident and health</t>
  </si>
  <si>
    <t>Argo</t>
  </si>
  <si>
    <t>Required capital</t>
  </si>
  <si>
    <t>Actual capital</t>
  </si>
  <si>
    <t>Chart2-Combined ratio</t>
  </si>
  <si>
    <t>Chart3-Cession ratio</t>
  </si>
  <si>
    <t>Chart4-LoB Distribution</t>
  </si>
  <si>
    <t>信用保证保险</t>
  </si>
  <si>
    <t>财产险</t>
  </si>
  <si>
    <t>Credit and surety</t>
  </si>
  <si>
    <t>UPR+IBNR</t>
  </si>
  <si>
    <t>Chart5-Investment assets mix</t>
  </si>
  <si>
    <t>Chart6-Investment margin</t>
  </si>
  <si>
    <t>Chart7-Solvency Ratio</t>
  </si>
  <si>
    <t>Chart8-D/E ratio</t>
  </si>
  <si>
    <t>ROE Tree</t>
  </si>
  <si>
    <t>Calculating Area</t>
  </si>
  <si>
    <t>Net income before tax</t>
  </si>
  <si>
    <t>税前利润（利润总额）</t>
  </si>
  <si>
    <t>营业利润</t>
  </si>
  <si>
    <t>Operating income</t>
  </si>
  <si>
    <t>Return on Equity</t>
  </si>
  <si>
    <t>Pre-tax ROE</t>
  </si>
  <si>
    <t>100% - Tax ratio</t>
  </si>
  <si>
    <t>Operating RoE</t>
  </si>
  <si>
    <t>Non-operating RoE</t>
  </si>
  <si>
    <t>Tax ratio</t>
  </si>
  <si>
    <t>Operating profit margin</t>
  </si>
  <si>
    <t>UW leverage</t>
  </si>
  <si>
    <t>UW margin</t>
  </si>
  <si>
    <t>Investment ratio</t>
  </si>
  <si>
    <t>C/R</t>
  </si>
  <si>
    <t>Loss Ratio</t>
  </si>
  <si>
    <t>Expense Ratio</t>
  </si>
  <si>
    <t>100%- Tax Ratio</t>
  </si>
  <si>
    <t>Tax Ratio</t>
  </si>
  <si>
    <t>Operating ROE</t>
  </si>
  <si>
    <t>Non Operating ROE</t>
  </si>
  <si>
    <t>Operating Profit Margin</t>
  </si>
  <si>
    <t>UW Leverage</t>
  </si>
  <si>
    <t>Based on NEP</t>
  </si>
  <si>
    <t>UW Margin</t>
  </si>
  <si>
    <t>Investment Ratio</t>
  </si>
  <si>
    <t>CR</t>
  </si>
  <si>
    <t>LR</t>
  </si>
  <si>
    <t>ER</t>
  </si>
  <si>
    <t>7.如需添加新的公司，请复制Template表</t>
  </si>
  <si>
    <t>1.在Cockpit中输入公司名称后点击Update即可获得该公司财务信息</t>
  </si>
  <si>
    <t>8.ROE Tree 输入年份后即可自动更新</t>
  </si>
  <si>
    <t>4.关于部分会计科目的说明请参考Account Introduction</t>
  </si>
  <si>
    <t>Chart1-GWP</t>
  </si>
  <si>
    <t>Key indicators</t>
  </si>
  <si>
    <t>Combind Ratio</t>
  </si>
  <si>
    <t>Net profit after tax</t>
  </si>
  <si>
    <t>Net profit before tax</t>
  </si>
  <si>
    <t>Operating profit</t>
  </si>
  <si>
    <t>Chart7-Combined ratio LoB (Based on GWP)</t>
  </si>
  <si>
    <t>9.数据一律使用母公司报表</t>
  </si>
  <si>
    <t>使用说明</t>
  </si>
  <si>
    <t>保险业务收入-未到期责任准备金（两年差值）</t>
  </si>
  <si>
    <t>保险业务收入-分出保费-提取未到期责任准备金</t>
  </si>
  <si>
    <t>Combined Ratio</t>
  </si>
  <si>
    <t>Net profit</t>
  </si>
  <si>
    <t>input area</t>
  </si>
  <si>
    <t>PingAn</t>
  </si>
  <si>
    <t>Free Work Area</t>
  </si>
  <si>
    <t>不要添加长期股权投资</t>
  </si>
  <si>
    <t>2.请不要插入或删除任何行/列，否则会导致Cockpit和Peer Analysis引用出错</t>
  </si>
  <si>
    <t>6.公司表的灰色区域需要人工录入</t>
  </si>
  <si>
    <t>3.如果需要添加项目，请添加到Template和每家公司表的最后 (Free Work Area)</t>
  </si>
  <si>
    <t>5.在Cockpit中使用Group/ungroup来选取图表的时间范围</t>
  </si>
  <si>
    <t>10.Peer Analysis在灰色区域输入所需公司名称即可（不超过10个）</t>
  </si>
  <si>
    <t>Commission</t>
  </si>
  <si>
    <t>Cockpit</t>
  </si>
  <si>
    <t>提取保费准备金（农险）</t>
  </si>
  <si>
    <t>To Be Added</t>
  </si>
  <si>
    <t>1.Volatility</t>
  </si>
  <si>
    <t>uy66666ew6</t>
  </si>
  <si>
    <t>Reinsurance Expense</t>
  </si>
  <si>
    <t>分保费用：保险公司作为分入方，支付给分出方的费用</t>
  </si>
  <si>
    <t>11.LoB performance以合并报为准</t>
  </si>
  <si>
    <t>Financial information</t>
  </si>
  <si>
    <t>Free work area</t>
  </si>
  <si>
    <t>2.Market Analysis</t>
  </si>
  <si>
    <t>Peer Analysis</t>
  </si>
  <si>
    <t>Input company name here and click "update"</t>
  </si>
  <si>
    <t>Input companies' names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</si>
</sst>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 * #,##0.00_ ;_ * \-#,##0.00_ ;_ * &quot;-&quot;??_ ;_ @_ "/>
    <numFmt numFmtId="164" formatCode="_ * #,##0_ ;_ * \-#,##0_ ;_ * &quot;-&quot;??_ ;_ @_ "/>
  </numFmts>
  <fonts count="33">
    <font>
      <sz val="11"/>
      <color theme="1"/>
      <name val="SwissReSans"/>
      <family val="2"/>
      <charset val="134"/>
    </font>
    <font>
      <sz val="11"/>
      <color theme="1"/>
      <name val="SwissReSans"/>
      <family val="2"/>
      <charset val="134"/>
    </font>
    <font>
      <sz val="11"/>
      <color rgb="FF000000"/>
      <name val="SwissReSans"/>
      <family val="2"/>
    </font>
    <font>
      <b/>
      <sz val="11"/>
      <color theme="1"/>
      <name val="SwissReSans"/>
      <family val="2"/>
    </font>
    <font>
      <b/>
      <i/>
      <sz val="10"/>
      <color theme="1"/>
      <name val="SwissReSans"/>
      <family val="2"/>
    </font>
    <font>
      <b/>
      <sz val="11"/>
      <color theme="0"/>
      <name val="SwissReSans"/>
      <family val="2"/>
    </font>
    <font>
      <b/>
      <sz val="10"/>
      <color theme="0"/>
      <name val="SwissReSans"/>
      <family val="2"/>
    </font>
    <font>
      <b/>
      <sz val="14"/>
      <color theme="8" tint="-0.499984740745262"/>
      <name val="SwissReSans"/>
      <family val="2"/>
    </font>
    <font>
      <b/>
      <sz val="11"/>
      <color theme="4" tint="-0.499984740745262"/>
      <name val="Microsoft YaHei"/>
      <family val="2"/>
    </font>
    <font>
      <sz val="11"/>
      <color theme="1"/>
      <name val="Microsoft YaHei"/>
      <family val="2"/>
    </font>
    <font>
      <b/>
      <sz val="14"/>
      <color theme="9" tint="-0.499984740745262"/>
      <name val="SwissReSans"/>
      <family val="2"/>
    </font>
    <font>
      <b/>
      <sz val="11"/>
      <color theme="5" tint="-0.249977111117893"/>
      <name val="SwissReSans"/>
      <family val="2"/>
    </font>
    <font>
      <b/>
      <sz val="12"/>
      <color theme="8" tint="-0.499984740745262"/>
      <name val="SwissReSans"/>
      <family val="2"/>
    </font>
    <font>
      <b/>
      <sz val="10"/>
      <color theme="8" tint="-0.499984740745262"/>
      <name val="SwissReSans"/>
      <family val="2"/>
    </font>
    <font>
      <b/>
      <sz val="9"/>
      <color theme="5" tint="-0.249977111117893"/>
      <name val="SwissReSans"/>
      <family val="2"/>
    </font>
    <font>
      <b/>
      <sz val="8"/>
      <color theme="5" tint="-0.249977111117893"/>
      <name val="SwissReSans"/>
      <family val="2"/>
    </font>
    <font>
      <sz val="9"/>
      <color theme="1"/>
      <name val="SwissReSans"/>
      <family val="2"/>
      <charset val="134"/>
    </font>
    <font>
      <b/>
      <sz val="11"/>
      <color theme="0" tint="-0.499984740745262"/>
      <name val="Microsoft YaHei"/>
      <family val="2"/>
    </font>
    <font>
      <b/>
      <sz val="11"/>
      <color theme="7" tint="-0.249977111117893"/>
      <name val="Microsoft YaHei"/>
      <family val="2"/>
    </font>
    <font>
      <sz val="11"/>
      <name val="Microsoft YaHei"/>
      <family val="2"/>
    </font>
    <font>
      <sz val="11"/>
      <name val="SwissReSans"/>
      <family val="2"/>
    </font>
    <font>
      <sz val="11"/>
      <name val="SwissReSans"/>
      <family val="2"/>
      <charset val="134"/>
    </font>
    <font>
      <b/>
      <sz val="11"/>
      <color theme="1"/>
      <name val="Microsoft YaHei"/>
      <family val="2"/>
    </font>
    <font>
      <b/>
      <sz val="14"/>
      <color theme="1"/>
      <name val="SwissReSans"/>
      <family val="2"/>
    </font>
    <font>
      <b/>
      <sz val="12"/>
      <color theme="1"/>
      <name val="SwissReSans"/>
      <family val="2"/>
    </font>
    <font>
      <sz val="14"/>
      <color theme="1"/>
      <name val="SwissReSans"/>
      <family val="2"/>
      <charset val="134"/>
    </font>
    <font>
      <b/>
      <sz val="18"/>
      <color theme="1"/>
      <name val="SwissReSans"/>
      <family val="2"/>
    </font>
    <font>
      <sz val="10"/>
      <color rgb="FFFF0000"/>
      <name val="SwissReSans"/>
      <family val="2"/>
      <charset val="134"/>
    </font>
    <font>
      <sz val="14"/>
      <color rgb="FFC00000"/>
      <name val="SwissReSans"/>
      <family val="2"/>
      <charset val="134"/>
    </font>
    <font>
      <b/>
      <sz val="12"/>
      <color theme="0"/>
      <name val="SwissReSans"/>
      <family val="2"/>
    </font>
    <font>
      <b/>
      <i/>
      <sz val="11"/>
      <color theme="1"/>
      <name val="SwissReSans"/>
      <family val="2"/>
    </font>
    <font>
      <b/>
      <sz val="11"/>
      <color rgb="FFFF0000"/>
      <name val="Microsoft YaHei"/>
      <family val="2"/>
    </font>
    <font>
      <b/>
      <sz val="16"/>
      <color theme="0"/>
      <name val="SwissReSans"/>
      <family val="2"/>
    </font>
  </fonts>
  <fills count="21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5">
    <xf numFmtId="0" fontId="0" fillId="0" borderId="0" xfId="0"/>
    <xf numFmtId="0" fontId="0" fillId="2" borderId="0" xfId="0" applyFill="1"/>
    <xf numFmtId="0" fontId="5" fillId="3" borderId="1" xfId="0" applyFont="1" applyFill="1" applyBorder="1" applyAlignment="1">
      <alignment vertical="center"/>
    </xf>
    <xf numFmtId="0" fontId="5" fillId="3" borderId="2" xfId="0" applyFont="1" applyFill="1" applyBorder="1" applyAlignment="1">
      <alignment vertical="center"/>
    </xf>
    <xf numFmtId="0" fontId="9" fillId="0" borderId="0" xfId="0" applyFont="1" applyFill="1"/>
    <xf numFmtId="0" fontId="9" fillId="0" borderId="0" xfId="0" applyFont="1"/>
    <xf numFmtId="0" fontId="7" fillId="5" borderId="0" xfId="0" applyFont="1" applyFill="1" applyAlignment="1">
      <alignment horizontal="center" vertical="center" textRotation="90"/>
    </xf>
    <xf numFmtId="0" fontId="11" fillId="7" borderId="0" xfId="0" applyFont="1" applyFill="1"/>
    <xf numFmtId="0" fontId="14" fillId="7" borderId="0" xfId="0" applyFont="1" applyFill="1"/>
    <xf numFmtId="0" fontId="15" fillId="7" borderId="0" xfId="0" applyFont="1" applyFill="1"/>
    <xf numFmtId="0" fontId="16" fillId="0" borderId="0" xfId="0" applyFont="1"/>
    <xf numFmtId="0" fontId="8" fillId="9" borderId="0" xfId="0" applyFont="1" applyFill="1"/>
    <xf numFmtId="0" fontId="17" fillId="10" borderId="0" xfId="0" applyFont="1" applyFill="1"/>
    <xf numFmtId="0" fontId="0" fillId="11" borderId="0" xfId="0" applyFill="1"/>
    <xf numFmtId="0" fontId="18" fillId="12" borderId="0" xfId="0" applyFont="1" applyFill="1"/>
    <xf numFmtId="0" fontId="9" fillId="13" borderId="0" xfId="0" applyFont="1" applyFill="1"/>
    <xf numFmtId="0" fontId="9" fillId="8" borderId="0" xfId="0" applyFont="1" applyFill="1"/>
    <xf numFmtId="0" fontId="0" fillId="13" borderId="0" xfId="0" applyFill="1"/>
    <xf numFmtId="0" fontId="19" fillId="0" borderId="0" xfId="0" applyFont="1" applyFill="1"/>
    <xf numFmtId="164" fontId="20" fillId="0" borderId="0" xfId="1" applyNumberFormat="1" applyFont="1" applyFill="1" applyBorder="1"/>
    <xf numFmtId="3" fontId="21" fillId="0" borderId="0" xfId="0" applyNumberFormat="1" applyFont="1" applyFill="1"/>
    <xf numFmtId="0" fontId="21" fillId="0" borderId="0" xfId="0" applyFont="1" applyFill="1"/>
    <xf numFmtId="0" fontId="20" fillId="0" borderId="0" xfId="0" applyFont="1" applyFill="1" applyBorder="1"/>
    <xf numFmtId="10" fontId="21" fillId="0" borderId="0" xfId="2" applyNumberFormat="1" applyFont="1" applyFill="1" applyBorder="1"/>
    <xf numFmtId="10" fontId="20" fillId="0" borderId="0" xfId="2" applyNumberFormat="1" applyFont="1" applyFill="1" applyBorder="1"/>
    <xf numFmtId="10" fontId="21" fillId="0" borderId="0" xfId="2" applyNumberFormat="1" applyFont="1" applyFill="1"/>
    <xf numFmtId="0" fontId="7" fillId="5" borderId="0" xfId="0" applyFont="1" applyFill="1" applyAlignment="1">
      <alignment horizontal="center" vertical="center" textRotation="90"/>
    </xf>
    <xf numFmtId="0" fontId="10" fillId="6" borderId="0" xfId="0" applyFont="1" applyFill="1" applyAlignment="1">
      <alignment horizontal="center" vertical="center" textRotation="90"/>
    </xf>
    <xf numFmtId="164" fontId="20" fillId="10" borderId="0" xfId="1" applyNumberFormat="1" applyFont="1" applyFill="1" applyBorder="1"/>
    <xf numFmtId="3" fontId="21" fillId="10" borderId="0" xfId="0" applyNumberFormat="1" applyFont="1" applyFill="1"/>
    <xf numFmtId="0" fontId="21" fillId="10" borderId="0" xfId="0" applyFont="1" applyFill="1"/>
    <xf numFmtId="164" fontId="21" fillId="10" borderId="0" xfId="1" applyNumberFormat="1" applyFont="1" applyFill="1"/>
    <xf numFmtId="0" fontId="19" fillId="10" borderId="0" xfId="0" applyFont="1" applyFill="1"/>
    <xf numFmtId="0" fontId="20" fillId="10" borderId="0" xfId="0" applyFont="1" applyFill="1" applyBorder="1"/>
    <xf numFmtId="0" fontId="0" fillId="10" borderId="0" xfId="0" applyFill="1"/>
    <xf numFmtId="0" fontId="23" fillId="14" borderId="0" xfId="0" applyFont="1" applyFill="1"/>
    <xf numFmtId="0" fontId="0" fillId="0" borderId="0" xfId="0" applyFill="1"/>
    <xf numFmtId="0" fontId="24" fillId="10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 textRotation="90"/>
    </xf>
    <xf numFmtId="0" fontId="0" fillId="15" borderId="0" xfId="0" applyFill="1"/>
    <xf numFmtId="0" fontId="26" fillId="15" borderId="0" xfId="0" applyFont="1" applyFill="1"/>
    <xf numFmtId="0" fontId="24" fillId="0" borderId="0" xfId="0" applyFont="1"/>
    <xf numFmtId="10" fontId="0" fillId="0" borderId="0" xfId="2" applyNumberFormat="1" applyFont="1"/>
    <xf numFmtId="0" fontId="0" fillId="12" borderId="0" xfId="0" applyFill="1"/>
    <xf numFmtId="10" fontId="0" fillId="12" borderId="0" xfId="2" applyNumberFormat="1" applyFont="1" applyFill="1"/>
    <xf numFmtId="0" fontId="3" fillId="12" borderId="3" xfId="0" applyFont="1" applyFill="1" applyBorder="1"/>
    <xf numFmtId="0" fontId="0" fillId="12" borderId="3" xfId="0" applyFill="1" applyBorder="1"/>
    <xf numFmtId="0" fontId="22" fillId="12" borderId="0" xfId="0" applyFont="1" applyFill="1" applyBorder="1"/>
    <xf numFmtId="0" fontId="0" fillId="12" borderId="0" xfId="0" applyFill="1" applyBorder="1"/>
    <xf numFmtId="0" fontId="9" fillId="12" borderId="0" xfId="0" applyFont="1" applyFill="1" applyBorder="1"/>
    <xf numFmtId="0" fontId="0" fillId="0" borderId="0" xfId="0" applyBorder="1"/>
    <xf numFmtId="0" fontId="26" fillId="0" borderId="0" xfId="0" applyFont="1" applyAlignment="1"/>
    <xf numFmtId="0" fontId="26" fillId="0" borderId="0" xfId="0" applyFont="1"/>
    <xf numFmtId="164" fontId="0" fillId="15" borderId="0" xfId="0" applyNumberFormat="1" applyFill="1" applyBorder="1"/>
    <xf numFmtId="0" fontId="0" fillId="15" borderId="0" xfId="0" applyFill="1" applyBorder="1"/>
    <xf numFmtId="10" fontId="0" fillId="15" borderId="0" xfId="0" applyNumberFormat="1" applyFill="1" applyBorder="1"/>
    <xf numFmtId="0" fontId="19" fillId="15" borderId="7" xfId="0" applyFont="1" applyFill="1" applyBorder="1"/>
    <xf numFmtId="164" fontId="0" fillId="15" borderId="8" xfId="0" applyNumberFormat="1" applyFill="1" applyBorder="1"/>
    <xf numFmtId="0" fontId="0" fillId="15" borderId="8" xfId="0" applyFill="1" applyBorder="1"/>
    <xf numFmtId="10" fontId="0" fillId="15" borderId="8" xfId="0" applyNumberFormat="1" applyFill="1" applyBorder="1"/>
    <xf numFmtId="0" fontId="19" fillId="15" borderId="9" xfId="0" applyFont="1" applyFill="1" applyBorder="1"/>
    <xf numFmtId="3" fontId="0" fillId="15" borderId="11" xfId="0" applyNumberFormat="1" applyFill="1" applyBorder="1"/>
    <xf numFmtId="3" fontId="0" fillId="15" borderId="10" xfId="0" applyNumberFormat="1" applyFill="1" applyBorder="1"/>
    <xf numFmtId="0" fontId="29" fillId="3" borderId="5" xfId="0" applyFont="1" applyFill="1" applyBorder="1" applyAlignment="1">
      <alignment vertical="center"/>
    </xf>
    <xf numFmtId="0" fontId="5" fillId="3" borderId="12" xfId="0" applyFont="1" applyFill="1" applyBorder="1" applyAlignment="1">
      <alignment vertical="center"/>
    </xf>
    <xf numFmtId="0" fontId="5" fillId="3" borderId="6" xfId="0" applyFont="1" applyFill="1" applyBorder="1" applyAlignment="1">
      <alignment vertical="center"/>
    </xf>
    <xf numFmtId="0" fontId="4" fillId="10" borderId="0" xfId="0" applyFont="1" applyFill="1"/>
    <xf numFmtId="0" fontId="21" fillId="0" borderId="0" xfId="2" applyNumberFormat="1" applyFont="1" applyFill="1" applyBorder="1"/>
    <xf numFmtId="3" fontId="0" fillId="10" borderId="0" xfId="0" applyNumberFormat="1" applyFill="1"/>
    <xf numFmtId="0" fontId="24" fillId="0" borderId="0" xfId="0" applyFont="1" applyAlignment="1">
      <alignment vertical="center"/>
    </xf>
    <xf numFmtId="0" fontId="24" fillId="15" borderId="0" xfId="0" applyFont="1" applyFill="1" applyBorder="1" applyAlignment="1">
      <alignment horizontal="center" vertical="center"/>
    </xf>
    <xf numFmtId="10" fontId="5" fillId="17" borderId="0" xfId="0" applyNumberFormat="1" applyFont="1" applyFill="1" applyBorder="1" applyAlignment="1">
      <alignment horizontal="center" vertical="center"/>
    </xf>
    <xf numFmtId="10" fontId="5" fillId="16" borderId="0" xfId="0" applyNumberFormat="1" applyFont="1" applyFill="1" applyBorder="1" applyAlignment="1">
      <alignment horizontal="center" vertical="center"/>
    </xf>
    <xf numFmtId="0" fontId="27" fillId="15" borderId="0" xfId="0" applyFont="1" applyFill="1" applyBorder="1"/>
    <xf numFmtId="0" fontId="0" fillId="15" borderId="13" xfId="0" applyFill="1" applyBorder="1"/>
    <xf numFmtId="0" fontId="0" fillId="15" borderId="15" xfId="0" applyFill="1" applyBorder="1"/>
    <xf numFmtId="0" fontId="0" fillId="15" borderId="16" xfId="0" applyFill="1" applyBorder="1"/>
    <xf numFmtId="0" fontId="0" fillId="15" borderId="17" xfId="0" applyFill="1" applyBorder="1"/>
    <xf numFmtId="0" fontId="0" fillId="15" borderId="18" xfId="0" applyFill="1" applyBorder="1"/>
    <xf numFmtId="0" fontId="0" fillId="15" borderId="3" xfId="0" applyFill="1" applyBorder="1"/>
    <xf numFmtId="0" fontId="0" fillId="15" borderId="19" xfId="0" applyFill="1" applyBorder="1"/>
    <xf numFmtId="0" fontId="30" fillId="0" borderId="0" xfId="0" applyFont="1" applyBorder="1"/>
    <xf numFmtId="0" fontId="5" fillId="18" borderId="4" xfId="0" applyFont="1" applyFill="1" applyBorder="1"/>
    <xf numFmtId="0" fontId="0" fillId="12" borderId="12" xfId="0" applyFill="1" applyBorder="1"/>
    <xf numFmtId="0" fontId="0" fillId="12" borderId="6" xfId="0" applyFill="1" applyBorder="1"/>
    <xf numFmtId="0" fontId="0" fillId="12" borderId="8" xfId="0" applyFill="1" applyBorder="1"/>
    <xf numFmtId="0" fontId="0" fillId="12" borderId="11" xfId="0" applyFill="1" applyBorder="1"/>
    <xf numFmtId="0" fontId="0" fillId="12" borderId="10" xfId="0" applyFill="1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19" borderId="0" xfId="0" applyFill="1"/>
    <xf numFmtId="0" fontId="0" fillId="20" borderId="0" xfId="0" applyFill="1"/>
    <xf numFmtId="0" fontId="5" fillId="20" borderId="0" xfId="0" applyFont="1" applyFill="1"/>
    <xf numFmtId="0" fontId="0" fillId="10" borderId="20" xfId="0" applyFill="1" applyBorder="1"/>
    <xf numFmtId="0" fontId="0" fillId="10" borderId="21" xfId="0" applyFill="1" applyBorder="1"/>
    <xf numFmtId="0" fontId="0" fillId="10" borderId="22" xfId="0" applyFill="1" applyBorder="1"/>
    <xf numFmtId="0" fontId="5" fillId="6" borderId="0" xfId="0" applyFont="1" applyFill="1"/>
    <xf numFmtId="0" fontId="31" fillId="0" borderId="0" xfId="0" applyFont="1" applyFill="1"/>
    <xf numFmtId="0" fontId="0" fillId="15" borderId="5" xfId="0" applyFill="1" applyBorder="1"/>
    <xf numFmtId="0" fontId="0" fillId="15" borderId="7" xfId="0" applyFill="1" applyBorder="1"/>
    <xf numFmtId="0" fontId="0" fillId="15" borderId="9" xfId="0" applyFill="1" applyBorder="1"/>
    <xf numFmtId="0" fontId="0" fillId="19" borderId="0" xfId="0" applyFill="1" applyBorder="1"/>
    <xf numFmtId="0" fontId="32" fillId="6" borderId="0" xfId="0" applyFont="1" applyFill="1"/>
    <xf numFmtId="0" fontId="0" fillId="15" borderId="0" xfId="0" applyFont="1" applyFill="1"/>
    <xf numFmtId="0" fontId="25" fillId="15" borderId="0" xfId="0" applyFont="1" applyFill="1"/>
    <xf numFmtId="3" fontId="20" fillId="10" borderId="0" xfId="0" applyNumberFormat="1" applyFont="1" applyFill="1"/>
    <xf numFmtId="0" fontId="16" fillId="15" borderId="0" xfId="0" applyFont="1" applyFill="1" applyAlignment="1">
      <alignment horizontal="center" wrapText="1"/>
    </xf>
    <xf numFmtId="0" fontId="25" fillId="8" borderId="0" xfId="0" applyFont="1" applyFill="1" applyAlignment="1">
      <alignment horizontal="left"/>
    </xf>
    <xf numFmtId="0" fontId="6" fillId="4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 textRotation="90"/>
    </xf>
    <xf numFmtId="0" fontId="10" fillId="6" borderId="0" xfId="0" applyFont="1" applyFill="1" applyAlignment="1">
      <alignment horizontal="center" vertical="center" textRotation="90"/>
    </xf>
    <xf numFmtId="0" fontId="28" fillId="15" borderId="14" xfId="0" applyFont="1" applyFill="1" applyBorder="1" applyAlignment="1">
      <alignment horizontal="center" vertical="center"/>
    </xf>
    <xf numFmtId="0" fontId="12" fillId="5" borderId="0" xfId="0" applyFont="1" applyFill="1" applyAlignment="1">
      <alignment horizontal="center" vertical="center" textRotation="90"/>
    </xf>
    <xf numFmtId="0" fontId="13" fillId="5" borderId="0" xfId="0" applyFont="1" applyFill="1" applyAlignment="1">
      <alignment horizontal="center" vertical="center" textRotation="90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Cockpit!$F$10:$O$10</c:f>
              <c:numCache>
                <c:formatCode>General</c:formatCode>
                <c:ptCount val="1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</c:numCache>
            </c:numRef>
          </c:cat>
          <c:val>
            <c:numRef>
              <c:f>Cockpit!$F$11:$O$11</c:f>
              <c:numCache>
                <c:formatCode>_ * #,##0_ ;_ * \-#,##0_ ;_ * "-"??_ ;_ @_ </c:formatCode>
                <c:ptCount val="10"/>
                <c:pt idx="4">
                  <c:v>281697916</c:v>
                </c:pt>
                <c:pt idx="5">
                  <c:v>311160427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1908032"/>
        <c:axId val="181902256"/>
      </c:barChart>
      <c:catAx>
        <c:axId val="341908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902256"/>
        <c:crosses val="autoZero"/>
        <c:auto val="1"/>
        <c:lblAlgn val="ctr"/>
        <c:lblOffset val="100"/>
        <c:noMultiLvlLbl val="0"/>
      </c:catAx>
      <c:valAx>
        <c:axId val="18190225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908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Cockpit!$E$36</c:f>
              <c:strCache>
                <c:ptCount val="1"/>
                <c:pt idx="0">
                  <c:v>Combined ratio(Before Re)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Cockpit!$F$10:$O$10</c:f>
              <c:numCache>
                <c:formatCode>General</c:formatCode>
                <c:ptCount val="1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</c:numCache>
            </c:numRef>
          </c:cat>
          <c:val>
            <c:numRef>
              <c:f>Cockpit!$F$36:$O$36</c:f>
              <c:numCache>
                <c:formatCode>0.00%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1.4806905018235219</c:v>
                </c:pt>
                <c:pt idx="5">
                  <c:v>0.99387678753682818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Cockpit!$E$40</c:f>
              <c:strCache>
                <c:ptCount val="1"/>
                <c:pt idx="0">
                  <c:v>Combined ratio(After Re)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Cockpit!$F$10:$O$10</c:f>
              <c:numCache>
                <c:formatCode>General</c:formatCode>
                <c:ptCount val="1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</c:numCache>
            </c:numRef>
          </c:cat>
          <c:val>
            <c:numRef>
              <c:f>Cockpit!$F$40:$O$40</c:f>
              <c:numCache>
                <c:formatCode>0.00%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0.96625407198774749</c:v>
                </c:pt>
                <c:pt idx="5">
                  <c:v>0.98253532316506109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904216"/>
        <c:axId val="336333168"/>
        <c:extLst/>
      </c:lineChart>
      <c:catAx>
        <c:axId val="181904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333168"/>
        <c:crosses val="autoZero"/>
        <c:auto val="1"/>
        <c:lblAlgn val="ctr"/>
        <c:lblOffset val="100"/>
        <c:noMultiLvlLbl val="0"/>
      </c:catAx>
      <c:valAx>
        <c:axId val="33633316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904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Cockpit!$E$41</c:f>
              <c:strCache>
                <c:ptCount val="1"/>
                <c:pt idx="0">
                  <c:v>Ceded ratio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Cockpit!$F$10:$O$10</c:f>
              <c:numCache>
                <c:formatCode>General</c:formatCode>
                <c:ptCount val="1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</c:numCache>
            </c:numRef>
          </c:cat>
          <c:val>
            <c:numRef>
              <c:f>Cockpit!$F$41:$O$41</c:f>
              <c:numCache>
                <c:formatCode>0.00%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0.10496942760485313</c:v>
                </c:pt>
                <c:pt idx="5">
                  <c:v>9.7655008038666821E-2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0782552"/>
        <c:axId val="380782944"/>
      </c:lineChart>
      <c:catAx>
        <c:axId val="380782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782944"/>
        <c:crosses val="autoZero"/>
        <c:auto val="1"/>
        <c:lblAlgn val="ctr"/>
        <c:lblOffset val="100"/>
        <c:noMultiLvlLbl val="0"/>
      </c:catAx>
      <c:valAx>
        <c:axId val="38078294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782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39489895786551E-2"/>
          <c:y val="0.12240920911379405"/>
          <c:w val="0.91947737732891477"/>
          <c:h val="0.68180331025614971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Cockpit!$E$43</c:f>
              <c:strCache>
                <c:ptCount val="1"/>
                <c:pt idx="0">
                  <c:v>Trading securities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Cockpit!$F$10:$O$10</c:f>
              <c:numCache>
                <c:formatCode>General</c:formatCode>
                <c:ptCount val="1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</c:numCache>
            </c:numRef>
          </c:cat>
          <c:val>
            <c:numRef>
              <c:f>Cockpit!$F$43:$O$43</c:f>
              <c:numCache>
                <c:formatCode>#,##0</c:formatCode>
                <c:ptCount val="10"/>
                <c:pt idx="4">
                  <c:v>15021048</c:v>
                </c:pt>
                <c:pt idx="5">
                  <c:v>13793691</c:v>
                </c:pt>
              </c:numCache>
            </c:numRef>
          </c:val>
        </c:ser>
        <c:ser>
          <c:idx val="1"/>
          <c:order val="1"/>
          <c:tx>
            <c:strRef>
              <c:f>Cockpit!$E$44</c:f>
              <c:strCache>
                <c:ptCount val="1"/>
                <c:pt idx="0">
                  <c:v>Derivatives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Cockpit!$F$10:$O$10</c:f>
              <c:numCache>
                <c:formatCode>General</c:formatCode>
                <c:ptCount val="1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</c:numCache>
            </c:numRef>
          </c:cat>
          <c:val>
            <c:numRef>
              <c:f>Cockpit!$F$44:$O$44</c:f>
              <c:numCache>
                <c:formatCode>#,##0</c:formatCode>
                <c:ptCount val="10"/>
                <c:pt idx="4">
                  <c:v>8159</c:v>
                </c:pt>
                <c:pt idx="5">
                  <c:v>3055</c:v>
                </c:pt>
              </c:numCache>
            </c:numRef>
          </c:val>
        </c:ser>
        <c:ser>
          <c:idx val="2"/>
          <c:order val="2"/>
          <c:tx>
            <c:strRef>
              <c:f>Cockpit!$E$45</c:f>
              <c:strCache>
                <c:ptCount val="1"/>
                <c:pt idx="0">
                  <c:v>Available for sale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Cockpit!$F$10:$O$10</c:f>
              <c:numCache>
                <c:formatCode>General</c:formatCode>
                <c:ptCount val="1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</c:numCache>
            </c:numRef>
          </c:cat>
          <c:val>
            <c:numRef>
              <c:f>Cockpit!$F$45:$O$45</c:f>
              <c:numCache>
                <c:formatCode>#,##0</c:formatCode>
                <c:ptCount val="10"/>
                <c:pt idx="4">
                  <c:v>118839125</c:v>
                </c:pt>
                <c:pt idx="5">
                  <c:v>122237850</c:v>
                </c:pt>
              </c:numCache>
            </c:numRef>
          </c:val>
        </c:ser>
        <c:ser>
          <c:idx val="3"/>
          <c:order val="3"/>
          <c:tx>
            <c:strRef>
              <c:f>Cockpit!$E$46</c:f>
              <c:strCache>
                <c:ptCount val="1"/>
                <c:pt idx="0">
                  <c:v>Hold to maturity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Cockpit!$F$10:$O$10</c:f>
              <c:numCache>
                <c:formatCode>General</c:formatCode>
                <c:ptCount val="1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</c:numCache>
            </c:numRef>
          </c:cat>
          <c:val>
            <c:numRef>
              <c:f>Cockpit!$F$46:$O$46</c:f>
              <c:numCache>
                <c:formatCode>#,##0</c:formatCode>
                <c:ptCount val="10"/>
                <c:pt idx="4">
                  <c:v>42258798</c:v>
                </c:pt>
                <c:pt idx="5">
                  <c:v>41651532</c:v>
                </c:pt>
              </c:numCache>
            </c:numRef>
          </c:val>
        </c:ser>
        <c:ser>
          <c:idx val="4"/>
          <c:order val="4"/>
          <c:tx>
            <c:strRef>
              <c:f>Cockpit!$E$47</c:f>
              <c:strCache>
                <c:ptCount val="1"/>
                <c:pt idx="0">
                  <c:v>Repurchase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Cockpit!$F$10:$O$10</c:f>
              <c:numCache>
                <c:formatCode>General</c:formatCode>
                <c:ptCount val="1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</c:numCache>
            </c:numRef>
          </c:cat>
          <c:val>
            <c:numRef>
              <c:f>Cockpit!$F$47:$O$47</c:f>
              <c:numCache>
                <c:formatCode>#,##0</c:formatCode>
                <c:ptCount val="10"/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5"/>
          <c:order val="5"/>
          <c:tx>
            <c:strRef>
              <c:f>Cockpit!$E$48</c:f>
              <c:strCache>
                <c:ptCount val="1"/>
                <c:pt idx="0">
                  <c:v>Term deposits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Cockpit!$F$10:$O$10</c:f>
              <c:numCache>
                <c:formatCode>General</c:formatCode>
                <c:ptCount val="1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</c:numCache>
            </c:numRef>
          </c:cat>
          <c:val>
            <c:numRef>
              <c:f>Cockpit!$F$48:$O$48</c:f>
              <c:numCache>
                <c:formatCode>#,##0</c:formatCode>
                <c:ptCount val="10"/>
                <c:pt idx="4">
                  <c:v>98663258</c:v>
                </c:pt>
                <c:pt idx="5">
                  <c:v>68286286</c:v>
                </c:pt>
              </c:numCache>
            </c:numRef>
          </c:val>
        </c:ser>
        <c:ser>
          <c:idx val="6"/>
          <c:order val="6"/>
          <c:tx>
            <c:strRef>
              <c:f>Cockpit!$E$50</c:f>
              <c:strCache>
                <c:ptCount val="1"/>
                <c:pt idx="0">
                  <c:v>Loan and receivables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Cockpit!$F$10:$O$10</c:f>
              <c:numCache>
                <c:formatCode>General</c:formatCode>
                <c:ptCount val="1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</c:numCache>
            </c:numRef>
          </c:cat>
          <c:val>
            <c:numRef>
              <c:f>Cockpit!$F$50:$O$50</c:f>
              <c:numCache>
                <c:formatCode>#,##0</c:formatCode>
                <c:ptCount val="10"/>
                <c:pt idx="4">
                  <c:v>30051764</c:v>
                </c:pt>
                <c:pt idx="5">
                  <c:v>63854784</c:v>
                </c:pt>
              </c:numCache>
            </c:numRef>
          </c:val>
        </c:ser>
        <c:ser>
          <c:idx val="7"/>
          <c:order val="7"/>
          <c:tx>
            <c:strRef>
              <c:f>Cockpit!$E$51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Cockpit!$F$10:$O$10</c:f>
              <c:numCache>
                <c:formatCode>General</c:formatCode>
                <c:ptCount val="1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</c:numCache>
            </c:numRef>
          </c:cat>
          <c:val>
            <c:numRef>
              <c:f>Cockpit!$F$51:$O$51</c:f>
              <c:numCache>
                <c:formatCode>#,##0</c:formatCode>
                <c:ptCount val="1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80783728"/>
        <c:axId val="380784120"/>
      </c:barChart>
      <c:catAx>
        <c:axId val="380783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784120"/>
        <c:crosses val="autoZero"/>
        <c:auto val="1"/>
        <c:lblAlgn val="ctr"/>
        <c:lblOffset val="100"/>
        <c:noMultiLvlLbl val="0"/>
      </c:catAx>
      <c:valAx>
        <c:axId val="38078412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783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6048271081111832E-2"/>
          <c:y val="0.89376427180872142"/>
          <c:w val="0.96395167925392999"/>
          <c:h val="0.106235653640863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Cockpit!$E$76</c:f>
              <c:strCache>
                <c:ptCount val="1"/>
                <c:pt idx="0">
                  <c:v>Motor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Cockpit!$F$10:$O$10</c:f>
              <c:numCache>
                <c:formatCode>General</c:formatCode>
                <c:ptCount val="1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</c:numCache>
            </c:numRef>
          </c:cat>
          <c:val>
            <c:numRef>
              <c:f>Cockpit!$F$76:$O$76</c:f>
              <c:numCache>
                <c:formatCode>#,##0</c:formatCode>
                <c:ptCount val="10"/>
                <c:pt idx="5">
                  <c:v>225639589</c:v>
                </c:pt>
              </c:numCache>
            </c:numRef>
          </c:val>
        </c:ser>
        <c:ser>
          <c:idx val="1"/>
          <c:order val="1"/>
          <c:tx>
            <c:strRef>
              <c:f>Cockpit!$E$77</c:f>
              <c:strCache>
                <c:ptCount val="1"/>
                <c:pt idx="0">
                  <c:v>Enterprise property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Cockpit!$F$10:$O$10</c:f>
              <c:numCache>
                <c:formatCode>General</c:formatCode>
                <c:ptCount val="1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</c:numCache>
            </c:numRef>
          </c:cat>
          <c:val>
            <c:numRef>
              <c:f>Cockpit!$F$77:$O$77</c:f>
              <c:numCache>
                <c:formatCode>#,##0</c:formatCode>
                <c:ptCount val="10"/>
                <c:pt idx="5">
                  <c:v>12010551</c:v>
                </c:pt>
              </c:numCache>
            </c:numRef>
          </c:val>
        </c:ser>
        <c:ser>
          <c:idx val="2"/>
          <c:order val="2"/>
          <c:tx>
            <c:strRef>
              <c:f>Cockpit!$E$78</c:f>
              <c:strCache>
                <c:ptCount val="1"/>
                <c:pt idx="0">
                  <c:v>Liabilities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Cockpit!$F$10:$O$10</c:f>
              <c:numCache>
                <c:formatCode>General</c:formatCode>
                <c:ptCount val="1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</c:numCache>
            </c:numRef>
          </c:cat>
          <c:val>
            <c:numRef>
              <c:f>Cockpit!$F$78:$O$78</c:f>
              <c:numCache>
                <c:formatCode>#,##0</c:formatCode>
                <c:ptCount val="10"/>
                <c:pt idx="5">
                  <c:v>13700752</c:v>
                </c:pt>
              </c:numCache>
            </c:numRef>
          </c:val>
        </c:ser>
        <c:ser>
          <c:idx val="3"/>
          <c:order val="3"/>
          <c:tx>
            <c:strRef>
              <c:f>Cockpit!$E$79</c:f>
              <c:strCache>
                <c:ptCount val="1"/>
                <c:pt idx="0">
                  <c:v>Cargo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Cockpit!$F$10:$O$10</c:f>
              <c:numCache>
                <c:formatCode>General</c:formatCode>
                <c:ptCount val="1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</c:numCache>
            </c:numRef>
          </c:cat>
          <c:val>
            <c:numRef>
              <c:f>Cockpit!$F$79:$O$79</c:f>
              <c:numCache>
                <c:formatCode>#,##0</c:formatCode>
                <c:ptCount val="10"/>
                <c:pt idx="5">
                  <c:v>2972465</c:v>
                </c:pt>
              </c:numCache>
            </c:numRef>
          </c:val>
        </c:ser>
        <c:ser>
          <c:idx val="4"/>
          <c:order val="4"/>
          <c:tx>
            <c:strRef>
              <c:f>Cockpit!$E$80</c:f>
              <c:strCache>
                <c:ptCount val="1"/>
                <c:pt idx="0">
                  <c:v>Accident and health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Cockpit!$F$10:$O$10</c:f>
              <c:numCache>
                <c:formatCode>General</c:formatCode>
                <c:ptCount val="1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</c:numCache>
            </c:numRef>
          </c:cat>
          <c:val>
            <c:numRef>
              <c:f>Cockpit!$F$80:$O$80</c:f>
              <c:numCache>
                <c:formatCode>#,##0</c:formatCode>
                <c:ptCount val="10"/>
                <c:pt idx="5">
                  <c:v>23430443</c:v>
                </c:pt>
              </c:numCache>
            </c:numRef>
          </c:val>
        </c:ser>
        <c:ser>
          <c:idx val="5"/>
          <c:order val="5"/>
          <c:tx>
            <c:strRef>
              <c:f>Cockpit!$E$81</c:f>
              <c:strCache>
                <c:ptCount val="1"/>
                <c:pt idx="0">
                  <c:v>Argo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Cockpit!$F$10:$O$10</c:f>
              <c:numCache>
                <c:formatCode>General</c:formatCode>
                <c:ptCount val="1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</c:numCache>
            </c:numRef>
          </c:cat>
          <c:val>
            <c:numRef>
              <c:f>Cockpit!$F$81:$O$81</c:f>
              <c:numCache>
                <c:formatCode>#,##0</c:formatCode>
                <c:ptCount val="10"/>
                <c:pt idx="5">
                  <c:v>19361283</c:v>
                </c:pt>
              </c:numCache>
            </c:numRef>
          </c:val>
        </c:ser>
        <c:ser>
          <c:idx val="6"/>
          <c:order val="6"/>
          <c:tx>
            <c:strRef>
              <c:f>Cockpit!$E$82</c:f>
              <c:strCache>
                <c:ptCount val="1"/>
                <c:pt idx="0">
                  <c:v>Credit and surety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Cockpit!$F$10:$O$10</c:f>
              <c:numCache>
                <c:formatCode>General</c:formatCode>
                <c:ptCount val="1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</c:numCache>
            </c:numRef>
          </c:cat>
          <c:val>
            <c:numRef>
              <c:f>Cockpit!$F$82:$O$82</c:f>
              <c:numCache>
                <c:formatCode>#,##0</c:formatCode>
                <c:ptCount val="10"/>
              </c:numCache>
            </c:numRef>
          </c:val>
        </c:ser>
        <c:ser>
          <c:idx val="7"/>
          <c:order val="7"/>
          <c:tx>
            <c:strRef>
              <c:f>Cockpit!$E$83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Cockpit!$F$10:$O$10</c:f>
              <c:numCache>
                <c:formatCode>General</c:formatCode>
                <c:ptCount val="1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</c:numCache>
            </c:numRef>
          </c:cat>
          <c:val>
            <c:numRef>
              <c:f>Cockpit!$F$83:$O$83</c:f>
              <c:numCache>
                <c:formatCode>#,##0</c:formatCode>
                <c:ptCount val="1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380784904"/>
        <c:axId val="380785296"/>
      </c:barChart>
      <c:catAx>
        <c:axId val="380784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785296"/>
        <c:crosses val="autoZero"/>
        <c:auto val="1"/>
        <c:lblAlgn val="ctr"/>
        <c:lblOffset val="100"/>
        <c:noMultiLvlLbl val="0"/>
      </c:catAx>
      <c:valAx>
        <c:axId val="38078529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784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Cockpit!$E$59</c:f>
              <c:strCache>
                <c:ptCount val="1"/>
                <c:pt idx="0">
                  <c:v>Net investment margin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Cockpit!$F$10:$O$10</c:f>
              <c:numCache>
                <c:formatCode>General</c:formatCode>
                <c:ptCount val="1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</c:numCache>
            </c:numRef>
          </c:cat>
          <c:val>
            <c:numRef>
              <c:f>Cockpit!$F$59:$O$59</c:f>
              <c:numCache>
                <c:formatCode>0.00%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6.709316762719704E-2</c:v>
                </c:pt>
                <c:pt idx="5">
                  <c:v>5.9926086122908929E-2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Cockpit!$E$60</c:f>
              <c:strCache>
                <c:ptCount val="1"/>
                <c:pt idx="0">
                  <c:v>Gross investment margin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Cockpit!$F$10:$O$10</c:f>
              <c:numCache>
                <c:formatCode>General</c:formatCode>
                <c:ptCount val="1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</c:numCache>
            </c:numRef>
          </c:cat>
          <c:val>
            <c:numRef>
              <c:f>Cockpit!$F$60:$O$60</c:f>
              <c:numCache>
                <c:formatCode>0.00%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6.7826542993680544E-2</c:v>
                </c:pt>
                <c:pt idx="5">
                  <c:v>5.9434868860434448E-2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1907248"/>
        <c:axId val="341906856"/>
      </c:lineChart>
      <c:catAx>
        <c:axId val="341907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906856"/>
        <c:crosses val="autoZero"/>
        <c:auto val="1"/>
        <c:lblAlgn val="ctr"/>
        <c:lblOffset val="100"/>
        <c:noMultiLvlLbl val="0"/>
      </c:catAx>
      <c:valAx>
        <c:axId val="34190685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907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Cockpit!$E$119</c:f>
              <c:strCache>
                <c:ptCount val="1"/>
                <c:pt idx="0">
                  <c:v>Motor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Cockpit!$F$10:$O$10</c:f>
              <c:numCache>
                <c:formatCode>General</c:formatCode>
                <c:ptCount val="1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</c:numCache>
            </c:numRef>
          </c:cat>
          <c:val>
            <c:numRef>
              <c:f>Cockpit!$F$119:$O$119</c:f>
              <c:numCache>
                <c:formatCode>0.00%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0.96816290956814322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Cockpit!$E$120</c:f>
              <c:strCache>
                <c:ptCount val="1"/>
                <c:pt idx="0">
                  <c:v>Enterprise property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Cockpit!$F$10:$O$10</c:f>
              <c:numCache>
                <c:formatCode>General</c:formatCode>
                <c:ptCount val="1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</c:numCache>
            </c:numRef>
          </c:cat>
          <c:val>
            <c:numRef>
              <c:f>Cockpit!$F$120:$O$120</c:f>
              <c:numCache>
                <c:formatCode>0.00%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1.1460236920021405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Cockpit!$E$121</c:f>
              <c:strCache>
                <c:ptCount val="1"/>
                <c:pt idx="0">
                  <c:v>Liabilities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Cockpit!$F$10:$O$10</c:f>
              <c:numCache>
                <c:formatCode>General</c:formatCode>
                <c:ptCount val="1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</c:numCache>
            </c:numRef>
          </c:cat>
          <c:val>
            <c:numRef>
              <c:f>Cockpit!$F$121:$O$121</c:f>
              <c:numCache>
                <c:formatCode>0.00%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0.96090440875070215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Cockpit!$E$122</c:f>
              <c:strCache>
                <c:ptCount val="1"/>
                <c:pt idx="0">
                  <c:v>Cargo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Cockpit!$F$10:$O$10</c:f>
              <c:numCache>
                <c:formatCode>General</c:formatCode>
                <c:ptCount val="1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</c:numCache>
            </c:numRef>
          </c:cat>
          <c:val>
            <c:numRef>
              <c:f>Cockpit!$F$122:$O$122</c:f>
              <c:numCache>
                <c:formatCode>0.00%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0.92301507334821431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Cockpit!$E$123</c:f>
              <c:strCache>
                <c:ptCount val="1"/>
                <c:pt idx="0">
                  <c:v>Accident and health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Cockpit!$F$10:$O$10</c:f>
              <c:numCache>
                <c:formatCode>General</c:formatCode>
                <c:ptCount val="1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</c:numCache>
            </c:numRef>
          </c:cat>
          <c:val>
            <c:numRef>
              <c:f>Cockpit!$F$123:$O$123</c:f>
              <c:numCache>
                <c:formatCode>0.00%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1.0116503132271122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Cockpit!$E$124</c:f>
              <c:strCache>
                <c:ptCount val="1"/>
                <c:pt idx="0">
                  <c:v>Argo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Cockpit!$F$10:$O$10</c:f>
              <c:numCache>
                <c:formatCode>General</c:formatCode>
                <c:ptCount val="1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</c:numCache>
            </c:numRef>
          </c:cat>
          <c:val>
            <c:numRef>
              <c:f>Cockpit!$F$124:$O$124</c:f>
              <c:numCache>
                <c:formatCode>0.00%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0.97313282389395372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Cockpit!$E$125</c:f>
              <c:strCache>
                <c:ptCount val="1"/>
                <c:pt idx="0">
                  <c:v>Credit and surety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Cockpit!$F$10:$O$10</c:f>
              <c:numCache>
                <c:formatCode>General</c:formatCode>
                <c:ptCount val="1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</c:numCache>
            </c:numRef>
          </c:cat>
          <c:val>
            <c:numRef>
              <c:f>Cockpit!$F$125:$O$125</c:f>
              <c:numCache>
                <c:formatCode>0.00%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8485664"/>
        <c:axId val="348486056"/>
      </c:lineChart>
      <c:catAx>
        <c:axId val="348485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486056"/>
        <c:crosses val="autoZero"/>
        <c:auto val="1"/>
        <c:lblAlgn val="ctr"/>
        <c:lblOffset val="100"/>
        <c:noMultiLvlLbl val="0"/>
      </c:catAx>
      <c:valAx>
        <c:axId val="34848605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485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Cockpit!$E$74</c:f>
              <c:strCache>
                <c:ptCount val="1"/>
                <c:pt idx="0">
                  <c:v>DE ratio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Cockpit!$F$10:$O$10</c:f>
              <c:numCache>
                <c:formatCode>General</c:formatCode>
                <c:ptCount val="1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</c:numCache>
            </c:numRef>
          </c:cat>
          <c:val>
            <c:numRef>
              <c:f>Cockpit!$F$74:$O$74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2.8952955359732693</c:v>
                </c:pt>
                <c:pt idx="5">
                  <c:v>3.0215042227518807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8486840"/>
        <c:axId val="348487232"/>
      </c:lineChart>
      <c:catAx>
        <c:axId val="348486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487232"/>
        <c:crosses val="autoZero"/>
        <c:auto val="1"/>
        <c:lblAlgn val="ctr"/>
        <c:lblOffset val="100"/>
        <c:noMultiLvlLbl val="0"/>
      </c:catAx>
      <c:valAx>
        <c:axId val="34848723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486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Cockpit!$E$127</c:f>
              <c:strCache>
                <c:ptCount val="1"/>
                <c:pt idx="0">
                  <c:v>Required capital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Cockpit!$F$10:$O$10</c:f>
              <c:numCache>
                <c:formatCode>General</c:formatCode>
                <c:ptCount val="1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</c:numCache>
            </c:numRef>
          </c:cat>
          <c:val>
            <c:numRef>
              <c:f>Cockpit!$F$127:$O$127</c:f>
              <c:numCache>
                <c:formatCode>#,##0</c:formatCode>
                <c:ptCount val="10"/>
                <c:pt idx="4">
                  <c:v>37830775</c:v>
                </c:pt>
                <c:pt idx="5">
                  <c:v>49070981</c:v>
                </c:pt>
              </c:numCache>
            </c:numRef>
          </c:val>
        </c:ser>
        <c:ser>
          <c:idx val="1"/>
          <c:order val="1"/>
          <c:tx>
            <c:strRef>
              <c:f>Cockpit!$E$128</c:f>
              <c:strCache>
                <c:ptCount val="1"/>
                <c:pt idx="0">
                  <c:v>Actual capital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Cockpit!$F$10:$O$10</c:f>
              <c:numCache>
                <c:formatCode>General</c:formatCode>
                <c:ptCount val="10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</c:numCache>
            </c:numRef>
          </c:cat>
          <c:val>
            <c:numRef>
              <c:f>Cockpit!$F$128:$O$128</c:f>
              <c:numCache>
                <c:formatCode>General</c:formatCode>
                <c:ptCount val="10"/>
                <c:pt idx="4" formatCode="#,##0">
                  <c:v>85355820</c:v>
                </c:pt>
                <c:pt idx="5" formatCode="#,##0">
                  <c:v>140792722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48488016"/>
        <c:axId val="348488408"/>
      </c:barChart>
      <c:lineChart>
        <c:grouping val="standard"/>
        <c:varyColors val="0"/>
        <c:ser>
          <c:idx val="2"/>
          <c:order val="2"/>
          <c:tx>
            <c:strRef>
              <c:f>Cockpit!$E$129</c:f>
              <c:strCache>
                <c:ptCount val="1"/>
                <c:pt idx="0">
                  <c:v>Solvency Ratio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Cockpit!$F$129:$O$129</c:f>
              <c:numCache>
                <c:formatCode>0.00%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2.2562535396115995</c:v>
                </c:pt>
                <c:pt idx="5">
                  <c:v>2.8691646087124281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489192"/>
        <c:axId val="348488800"/>
      </c:lineChart>
      <c:catAx>
        <c:axId val="34848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488408"/>
        <c:crosses val="autoZero"/>
        <c:auto val="1"/>
        <c:lblAlgn val="ctr"/>
        <c:lblOffset val="100"/>
        <c:noMultiLvlLbl val="0"/>
      </c:catAx>
      <c:valAx>
        <c:axId val="34848840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488016"/>
        <c:crosses val="autoZero"/>
        <c:crossBetween val="between"/>
      </c:valAx>
      <c:valAx>
        <c:axId val="34848880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489192"/>
        <c:crosses val="max"/>
        <c:crossBetween val="between"/>
      </c:valAx>
      <c:catAx>
        <c:axId val="348489192"/>
        <c:scaling>
          <c:orientation val="minMax"/>
        </c:scaling>
        <c:delete val="1"/>
        <c:axPos val="b"/>
        <c:majorTickMark val="out"/>
        <c:minorTickMark val="none"/>
        <c:tickLblPos val="nextTo"/>
        <c:crossAx val="3484888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223076</xdr:colOff>
      <xdr:row>2</xdr:row>
      <xdr:rowOff>132951</xdr:rowOff>
    </xdr:from>
    <xdr:to>
      <xdr:col>22</xdr:col>
      <xdr:colOff>561627</xdr:colOff>
      <xdr:row>23</xdr:row>
      <xdr:rowOff>39986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67076" y="542526"/>
          <a:ext cx="9482551" cy="4031360"/>
        </a:xfrm>
        <a:prstGeom prst="rect">
          <a:avLst/>
        </a:prstGeom>
      </xdr:spPr>
    </xdr:pic>
    <xdr:clientData/>
  </xdr:twoCellAnchor>
  <xdr:twoCellAnchor>
    <xdr:from>
      <xdr:col>10</xdr:col>
      <xdr:colOff>142875</xdr:colOff>
      <xdr:row>1</xdr:row>
      <xdr:rowOff>136151</xdr:rowOff>
    </xdr:from>
    <xdr:to>
      <xdr:col>14</xdr:col>
      <xdr:colOff>430865</xdr:colOff>
      <xdr:row>24</xdr:row>
      <xdr:rowOff>57150</xdr:rowOff>
    </xdr:to>
    <xdr:sp macro="" textlink="">
      <xdr:nvSpPr>
        <xdr:cNvPr id="3" name="Rounded Rectangle 2"/>
        <xdr:cNvSpPr/>
      </xdr:nvSpPr>
      <xdr:spPr>
        <a:xfrm>
          <a:off x="9286875" y="364751"/>
          <a:ext cx="3335990" cy="4407274"/>
        </a:xfrm>
        <a:prstGeom prst="roundRect">
          <a:avLst/>
        </a:prstGeom>
        <a:noFill/>
        <a:ln w="28575"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590550</xdr:colOff>
      <xdr:row>2</xdr:row>
      <xdr:rowOff>1</xdr:rowOff>
    </xdr:from>
    <xdr:to>
      <xdr:col>17</xdr:col>
      <xdr:colOff>619125</xdr:colOff>
      <xdr:row>24</xdr:row>
      <xdr:rowOff>57151</xdr:rowOff>
    </xdr:to>
    <xdr:sp macro="" textlink="">
      <xdr:nvSpPr>
        <xdr:cNvPr id="4" name="Rounded Rectangle 3"/>
        <xdr:cNvSpPr/>
      </xdr:nvSpPr>
      <xdr:spPr>
        <a:xfrm>
          <a:off x="12782550" y="409576"/>
          <a:ext cx="2314575" cy="4362450"/>
        </a:xfrm>
        <a:prstGeom prst="roundRect">
          <a:avLst/>
        </a:prstGeom>
        <a:noFill/>
        <a:ln w="28575"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219074</xdr:colOff>
      <xdr:row>6</xdr:row>
      <xdr:rowOff>38100</xdr:rowOff>
    </xdr:from>
    <xdr:to>
      <xdr:col>19</xdr:col>
      <xdr:colOff>707571</xdr:colOff>
      <xdr:row>13</xdr:row>
      <xdr:rowOff>81644</xdr:rowOff>
    </xdr:to>
    <xdr:sp macro="" textlink="">
      <xdr:nvSpPr>
        <xdr:cNvPr id="5" name="Rounded Rectangle 4"/>
        <xdr:cNvSpPr/>
      </xdr:nvSpPr>
      <xdr:spPr>
        <a:xfrm>
          <a:off x="12411074" y="1262743"/>
          <a:ext cx="1250497" cy="1472294"/>
        </a:xfrm>
        <a:prstGeom prst="roundRect">
          <a:avLst/>
        </a:prstGeom>
        <a:noFill/>
        <a:ln w="28575"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82323</xdr:colOff>
      <xdr:row>2</xdr:row>
      <xdr:rowOff>0</xdr:rowOff>
    </xdr:from>
    <xdr:to>
      <xdr:col>19</xdr:col>
      <xdr:colOff>323851</xdr:colOff>
      <xdr:row>6</xdr:row>
      <xdr:rowOff>38100</xdr:rowOff>
    </xdr:to>
    <xdr:cxnSp macro="">
      <xdr:nvCxnSpPr>
        <xdr:cNvPr id="7" name="Straight Connector 6"/>
        <xdr:cNvCxnSpPr>
          <a:endCxn id="5" idx="0"/>
        </xdr:cNvCxnSpPr>
      </xdr:nvCxnSpPr>
      <xdr:spPr>
        <a:xfrm flipH="1">
          <a:off x="13036323" y="408214"/>
          <a:ext cx="241528" cy="854529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371475</xdr:colOff>
      <xdr:row>2</xdr:row>
      <xdr:rowOff>28575</xdr:rowOff>
    </xdr:from>
    <xdr:to>
      <xdr:col>21</xdr:col>
      <xdr:colOff>542925</xdr:colOff>
      <xdr:row>6</xdr:row>
      <xdr:rowOff>66674</xdr:rowOff>
    </xdr:to>
    <xdr:cxnSp macro="">
      <xdr:nvCxnSpPr>
        <xdr:cNvPr id="8" name="Straight Connector 7"/>
        <xdr:cNvCxnSpPr/>
      </xdr:nvCxnSpPr>
      <xdr:spPr>
        <a:xfrm flipH="1">
          <a:off x="17897475" y="438150"/>
          <a:ext cx="171450" cy="876299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133350</xdr:colOff>
      <xdr:row>3</xdr:row>
      <xdr:rowOff>0</xdr:rowOff>
    </xdr:from>
    <xdr:to>
      <xdr:col>23</xdr:col>
      <xdr:colOff>57150</xdr:colOff>
      <xdr:row>23</xdr:row>
      <xdr:rowOff>85725</xdr:rowOff>
    </xdr:to>
    <xdr:sp macro="" textlink="">
      <xdr:nvSpPr>
        <xdr:cNvPr id="9" name="Rounded Rectangle 8"/>
        <xdr:cNvSpPr/>
      </xdr:nvSpPr>
      <xdr:spPr>
        <a:xfrm>
          <a:off x="16897350" y="619125"/>
          <a:ext cx="2209800" cy="4000500"/>
        </a:xfrm>
        <a:prstGeom prst="roundRect">
          <a:avLst/>
        </a:prstGeom>
        <a:noFill/>
        <a:ln w="28575"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10</xdr:col>
      <xdr:colOff>108857</xdr:colOff>
      <xdr:row>30</xdr:row>
      <xdr:rowOff>136070</xdr:rowOff>
    </xdr:from>
    <xdr:to>
      <xdr:col>19</xdr:col>
      <xdr:colOff>6569</xdr:colOff>
      <xdr:row>59</xdr:row>
      <xdr:rowOff>13607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04857" y="5810249"/>
          <a:ext cx="6755712" cy="5007429"/>
        </a:xfrm>
        <a:prstGeom prst="rect">
          <a:avLst/>
        </a:prstGeom>
      </xdr:spPr>
    </xdr:pic>
    <xdr:clientData/>
  </xdr:twoCellAnchor>
  <xdr:twoCellAnchor>
    <xdr:from>
      <xdr:col>10</xdr:col>
      <xdr:colOff>122464</xdr:colOff>
      <xdr:row>31</xdr:row>
      <xdr:rowOff>0</xdr:rowOff>
    </xdr:from>
    <xdr:to>
      <xdr:col>10</xdr:col>
      <xdr:colOff>625930</xdr:colOff>
      <xdr:row>35</xdr:row>
      <xdr:rowOff>54428</xdr:rowOff>
    </xdr:to>
    <xdr:sp macro="" textlink="">
      <xdr:nvSpPr>
        <xdr:cNvPr id="12" name="Rounded Rectangle 11"/>
        <xdr:cNvSpPr/>
      </xdr:nvSpPr>
      <xdr:spPr>
        <a:xfrm>
          <a:off x="6218464" y="5851071"/>
          <a:ext cx="503466" cy="762000"/>
        </a:xfrm>
        <a:prstGeom prst="roundRect">
          <a:avLst/>
        </a:prstGeom>
        <a:noFill/>
        <a:ln w="28575"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612321</xdr:colOff>
      <xdr:row>29</xdr:row>
      <xdr:rowOff>122464</xdr:rowOff>
    </xdr:from>
    <xdr:to>
      <xdr:col>12</xdr:col>
      <xdr:colOff>0</xdr:colOff>
      <xdr:row>33</xdr:row>
      <xdr:rowOff>24494</xdr:rowOff>
    </xdr:to>
    <xdr:cxnSp macro="">
      <xdr:nvCxnSpPr>
        <xdr:cNvPr id="13" name="Straight Connector 12"/>
        <xdr:cNvCxnSpPr/>
      </xdr:nvCxnSpPr>
      <xdr:spPr>
        <a:xfrm flipH="1">
          <a:off x="6708321" y="5619750"/>
          <a:ext cx="911679" cy="609601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651103</xdr:colOff>
      <xdr:row>3</xdr:row>
      <xdr:rowOff>28575</xdr:rowOff>
    </xdr:from>
    <xdr:to>
      <xdr:col>10</xdr:col>
      <xdr:colOff>257175</xdr:colOff>
      <xdr:row>4</xdr:row>
      <xdr:rowOff>142875</xdr:rowOff>
    </xdr:to>
    <xdr:cxnSp macro="">
      <xdr:nvCxnSpPr>
        <xdr:cNvPr id="15" name="Straight Connector 14"/>
        <xdr:cNvCxnSpPr/>
      </xdr:nvCxnSpPr>
      <xdr:spPr>
        <a:xfrm flipV="1">
          <a:off x="6747103" y="647700"/>
          <a:ext cx="1130072" cy="323850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</xdr:row>
          <xdr:rowOff>95250</xdr:rowOff>
        </xdr:from>
        <xdr:to>
          <xdr:col>1</xdr:col>
          <xdr:colOff>638175</xdr:colOff>
          <xdr:row>3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SwissReSans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16008</xdr:colOff>
      <xdr:row>4</xdr:row>
      <xdr:rowOff>33937</xdr:rowOff>
    </xdr:from>
    <xdr:to>
      <xdr:col>26</xdr:col>
      <xdr:colOff>478652</xdr:colOff>
      <xdr:row>18</xdr:row>
      <xdr:rowOff>135270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757200</xdr:colOff>
      <xdr:row>4</xdr:row>
      <xdr:rowOff>42743</xdr:rowOff>
    </xdr:from>
    <xdr:to>
      <xdr:col>33</xdr:col>
      <xdr:colOff>414618</xdr:colOff>
      <xdr:row>18</xdr:row>
      <xdr:rowOff>100853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11207</xdr:colOff>
      <xdr:row>21</xdr:row>
      <xdr:rowOff>40341</xdr:rowOff>
    </xdr:from>
    <xdr:to>
      <xdr:col>26</xdr:col>
      <xdr:colOff>470647</xdr:colOff>
      <xdr:row>36</xdr:row>
      <xdr:rowOff>89647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11205</xdr:colOff>
      <xdr:row>39</xdr:row>
      <xdr:rowOff>73957</xdr:rowOff>
    </xdr:from>
    <xdr:to>
      <xdr:col>26</xdr:col>
      <xdr:colOff>235323</xdr:colOff>
      <xdr:row>58</xdr:row>
      <xdr:rowOff>112059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728381</xdr:colOff>
      <xdr:row>22</xdr:row>
      <xdr:rowOff>29136</xdr:rowOff>
    </xdr:from>
    <xdr:to>
      <xdr:col>33</xdr:col>
      <xdr:colOff>425822</xdr:colOff>
      <xdr:row>37</xdr:row>
      <xdr:rowOff>56029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44823</xdr:colOff>
      <xdr:row>39</xdr:row>
      <xdr:rowOff>201706</xdr:rowOff>
    </xdr:from>
    <xdr:to>
      <xdr:col>33</xdr:col>
      <xdr:colOff>661146</xdr:colOff>
      <xdr:row>57</xdr:row>
      <xdr:rowOff>100851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33615</xdr:colOff>
      <xdr:row>60</xdr:row>
      <xdr:rowOff>141196</xdr:rowOff>
    </xdr:from>
    <xdr:to>
      <xdr:col>26</xdr:col>
      <xdr:colOff>33615</xdr:colOff>
      <xdr:row>75</xdr:row>
      <xdr:rowOff>183778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33616</xdr:colOff>
      <xdr:row>78</xdr:row>
      <xdr:rowOff>29135</xdr:rowOff>
    </xdr:from>
    <xdr:to>
      <xdr:col>26</xdr:col>
      <xdr:colOff>33616</xdr:colOff>
      <xdr:row>91</xdr:row>
      <xdr:rowOff>4482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41</xdr:col>
      <xdr:colOff>358588</xdr:colOff>
      <xdr:row>26</xdr:row>
      <xdr:rowOff>0</xdr:rowOff>
    </xdr:from>
    <xdr:to>
      <xdr:col>41</xdr:col>
      <xdr:colOff>358588</xdr:colOff>
      <xdr:row>27</xdr:row>
      <xdr:rowOff>11206</xdr:rowOff>
    </xdr:to>
    <xdr:cxnSp macro="">
      <xdr:nvCxnSpPr>
        <xdr:cNvPr id="12" name="Straight Connector 11"/>
        <xdr:cNvCxnSpPr/>
      </xdr:nvCxnSpPr>
      <xdr:spPr>
        <a:xfrm>
          <a:off x="33886588" y="5580529"/>
          <a:ext cx="0" cy="224118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280147</xdr:colOff>
      <xdr:row>28</xdr:row>
      <xdr:rowOff>22411</xdr:rowOff>
    </xdr:from>
    <xdr:to>
      <xdr:col>40</xdr:col>
      <xdr:colOff>459441</xdr:colOff>
      <xdr:row>28</xdr:row>
      <xdr:rowOff>190500</xdr:rowOff>
    </xdr:to>
    <xdr:sp macro="" textlink="">
      <xdr:nvSpPr>
        <xdr:cNvPr id="13" name="Multiply 12"/>
        <xdr:cNvSpPr/>
      </xdr:nvSpPr>
      <xdr:spPr>
        <a:xfrm>
          <a:off x="33046147" y="6028764"/>
          <a:ext cx="179294" cy="168089"/>
        </a:xfrm>
        <a:prstGeom prst="mathMultiply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39</xdr:col>
      <xdr:colOff>358588</xdr:colOff>
      <xdr:row>29</xdr:row>
      <xdr:rowOff>0</xdr:rowOff>
    </xdr:from>
    <xdr:to>
      <xdr:col>39</xdr:col>
      <xdr:colOff>358588</xdr:colOff>
      <xdr:row>30</xdr:row>
      <xdr:rowOff>11206</xdr:rowOff>
    </xdr:to>
    <xdr:cxnSp macro="">
      <xdr:nvCxnSpPr>
        <xdr:cNvPr id="15" name="Straight Connector 14"/>
        <xdr:cNvCxnSpPr/>
      </xdr:nvCxnSpPr>
      <xdr:spPr>
        <a:xfrm>
          <a:off x="36172588" y="5580529"/>
          <a:ext cx="0" cy="224118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358588</xdr:colOff>
      <xdr:row>29</xdr:row>
      <xdr:rowOff>0</xdr:rowOff>
    </xdr:from>
    <xdr:to>
      <xdr:col>41</xdr:col>
      <xdr:colOff>358588</xdr:colOff>
      <xdr:row>30</xdr:row>
      <xdr:rowOff>11206</xdr:rowOff>
    </xdr:to>
    <xdr:cxnSp macro="">
      <xdr:nvCxnSpPr>
        <xdr:cNvPr id="16" name="Straight Connector 15"/>
        <xdr:cNvCxnSpPr/>
      </xdr:nvCxnSpPr>
      <xdr:spPr>
        <a:xfrm>
          <a:off x="34648588" y="6219265"/>
          <a:ext cx="0" cy="224117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347869</xdr:colOff>
      <xdr:row>29</xdr:row>
      <xdr:rowOff>107156</xdr:rowOff>
    </xdr:from>
    <xdr:to>
      <xdr:col>43</xdr:col>
      <xdr:colOff>398859</xdr:colOff>
      <xdr:row>29</xdr:row>
      <xdr:rowOff>107674</xdr:rowOff>
    </xdr:to>
    <xdr:cxnSp macro="">
      <xdr:nvCxnSpPr>
        <xdr:cNvPr id="25" name="Straight Connector 24"/>
        <xdr:cNvCxnSpPr/>
      </xdr:nvCxnSpPr>
      <xdr:spPr>
        <a:xfrm flipV="1">
          <a:off x="36155916" y="6238875"/>
          <a:ext cx="1574990" cy="518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397565</xdr:colOff>
      <xdr:row>29</xdr:row>
      <xdr:rowOff>104050</xdr:rowOff>
    </xdr:from>
    <xdr:to>
      <xdr:col>43</xdr:col>
      <xdr:colOff>397565</xdr:colOff>
      <xdr:row>30</xdr:row>
      <xdr:rowOff>12942</xdr:rowOff>
    </xdr:to>
    <xdr:cxnSp macro="">
      <xdr:nvCxnSpPr>
        <xdr:cNvPr id="27" name="Straight Connector 26"/>
        <xdr:cNvCxnSpPr/>
      </xdr:nvCxnSpPr>
      <xdr:spPr>
        <a:xfrm>
          <a:off x="37729612" y="6235769"/>
          <a:ext cx="0" cy="117251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375154</xdr:colOff>
      <xdr:row>31</xdr:row>
      <xdr:rowOff>198782</xdr:rowOff>
    </xdr:from>
    <xdr:to>
      <xdr:col>41</xdr:col>
      <xdr:colOff>375154</xdr:colOff>
      <xdr:row>33</xdr:row>
      <xdr:rowOff>27770</xdr:rowOff>
    </xdr:to>
    <xdr:cxnSp macro="">
      <xdr:nvCxnSpPr>
        <xdr:cNvPr id="36" name="Straight Connector 35"/>
        <xdr:cNvCxnSpPr/>
      </xdr:nvCxnSpPr>
      <xdr:spPr>
        <a:xfrm>
          <a:off x="36172589" y="6733760"/>
          <a:ext cx="0" cy="218271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364435</xdr:colOff>
      <xdr:row>32</xdr:row>
      <xdr:rowOff>98873</xdr:rowOff>
    </xdr:from>
    <xdr:to>
      <xdr:col>43</xdr:col>
      <xdr:colOff>415425</xdr:colOff>
      <xdr:row>32</xdr:row>
      <xdr:rowOff>99391</xdr:rowOff>
    </xdr:to>
    <xdr:cxnSp macro="">
      <xdr:nvCxnSpPr>
        <xdr:cNvPr id="37" name="Straight Connector 36"/>
        <xdr:cNvCxnSpPr/>
      </xdr:nvCxnSpPr>
      <xdr:spPr>
        <a:xfrm flipV="1">
          <a:off x="36161870" y="6840916"/>
          <a:ext cx="1574990" cy="518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414131</xdr:colOff>
      <xdr:row>32</xdr:row>
      <xdr:rowOff>87483</xdr:rowOff>
    </xdr:from>
    <xdr:to>
      <xdr:col>43</xdr:col>
      <xdr:colOff>414131</xdr:colOff>
      <xdr:row>33</xdr:row>
      <xdr:rowOff>21222</xdr:rowOff>
    </xdr:to>
    <xdr:cxnSp macro="">
      <xdr:nvCxnSpPr>
        <xdr:cNvPr id="38" name="Straight Connector 37"/>
        <xdr:cNvCxnSpPr/>
      </xdr:nvCxnSpPr>
      <xdr:spPr>
        <a:xfrm>
          <a:off x="37735566" y="6829526"/>
          <a:ext cx="0" cy="115957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358588</xdr:colOff>
      <xdr:row>35</xdr:row>
      <xdr:rowOff>0</xdr:rowOff>
    </xdr:from>
    <xdr:to>
      <xdr:col>43</xdr:col>
      <xdr:colOff>358588</xdr:colOff>
      <xdr:row>36</xdr:row>
      <xdr:rowOff>11206</xdr:rowOff>
    </xdr:to>
    <xdr:cxnSp macro="">
      <xdr:nvCxnSpPr>
        <xdr:cNvPr id="39" name="Straight Connector 38"/>
        <xdr:cNvCxnSpPr/>
      </xdr:nvCxnSpPr>
      <xdr:spPr>
        <a:xfrm>
          <a:off x="34632023" y="6120848"/>
          <a:ext cx="0" cy="218271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323850</xdr:colOff>
      <xdr:row>46</xdr:row>
      <xdr:rowOff>19050</xdr:rowOff>
    </xdr:from>
    <xdr:to>
      <xdr:col>42</xdr:col>
      <xdr:colOff>478678</xdr:colOff>
      <xdr:row>46</xdr:row>
      <xdr:rowOff>183110</xdr:rowOff>
    </xdr:to>
    <xdr:sp macro="" textlink="">
      <xdr:nvSpPr>
        <xdr:cNvPr id="40" name="Plus 39"/>
        <xdr:cNvSpPr/>
      </xdr:nvSpPr>
      <xdr:spPr>
        <a:xfrm>
          <a:off x="36890325" y="9686925"/>
          <a:ext cx="154828" cy="164060"/>
        </a:xfrm>
        <a:prstGeom prst="mathPlus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41</xdr:col>
      <xdr:colOff>401244</xdr:colOff>
      <xdr:row>44</xdr:row>
      <xdr:rowOff>0</xdr:rowOff>
    </xdr:from>
    <xdr:to>
      <xdr:col>41</xdr:col>
      <xdr:colOff>401244</xdr:colOff>
      <xdr:row>45</xdr:row>
      <xdr:rowOff>11206</xdr:rowOff>
    </xdr:to>
    <xdr:cxnSp macro="">
      <xdr:nvCxnSpPr>
        <xdr:cNvPr id="41" name="Straight Connector 40"/>
        <xdr:cNvCxnSpPr/>
      </xdr:nvCxnSpPr>
      <xdr:spPr>
        <a:xfrm>
          <a:off x="36205719" y="9248775"/>
          <a:ext cx="0" cy="220756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390525</xdr:colOff>
      <xdr:row>44</xdr:row>
      <xdr:rowOff>107156</xdr:rowOff>
    </xdr:from>
    <xdr:to>
      <xdr:col>43</xdr:col>
      <xdr:colOff>441515</xdr:colOff>
      <xdr:row>44</xdr:row>
      <xdr:rowOff>107674</xdr:rowOff>
    </xdr:to>
    <xdr:cxnSp macro="">
      <xdr:nvCxnSpPr>
        <xdr:cNvPr id="42" name="Straight Connector 41"/>
        <xdr:cNvCxnSpPr/>
      </xdr:nvCxnSpPr>
      <xdr:spPr>
        <a:xfrm flipV="1">
          <a:off x="36195000" y="9355931"/>
          <a:ext cx="1574990" cy="518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440221</xdr:colOff>
      <xdr:row>44</xdr:row>
      <xdr:rowOff>104050</xdr:rowOff>
    </xdr:from>
    <xdr:to>
      <xdr:col>43</xdr:col>
      <xdr:colOff>440221</xdr:colOff>
      <xdr:row>45</xdr:row>
      <xdr:rowOff>12942</xdr:rowOff>
    </xdr:to>
    <xdr:cxnSp macro="">
      <xdr:nvCxnSpPr>
        <xdr:cNvPr id="43" name="Straight Connector 42"/>
        <xdr:cNvCxnSpPr/>
      </xdr:nvCxnSpPr>
      <xdr:spPr>
        <a:xfrm>
          <a:off x="37768696" y="9352825"/>
          <a:ext cx="0" cy="118442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323850</xdr:colOff>
      <xdr:row>40</xdr:row>
      <xdr:rowOff>28575</xdr:rowOff>
    </xdr:from>
    <xdr:to>
      <xdr:col>42</xdr:col>
      <xdr:colOff>478678</xdr:colOff>
      <xdr:row>40</xdr:row>
      <xdr:rowOff>192635</xdr:rowOff>
    </xdr:to>
    <xdr:sp macro="" textlink="">
      <xdr:nvSpPr>
        <xdr:cNvPr id="44" name="Plus 43"/>
        <xdr:cNvSpPr/>
      </xdr:nvSpPr>
      <xdr:spPr>
        <a:xfrm>
          <a:off x="36890325" y="8439150"/>
          <a:ext cx="154828" cy="164060"/>
        </a:xfrm>
        <a:prstGeom prst="mathPlus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40</xdr:col>
      <xdr:colOff>295275</xdr:colOff>
      <xdr:row>40</xdr:row>
      <xdr:rowOff>28575</xdr:rowOff>
    </xdr:from>
    <xdr:to>
      <xdr:col>40</xdr:col>
      <xdr:colOff>450103</xdr:colOff>
      <xdr:row>40</xdr:row>
      <xdr:rowOff>192635</xdr:rowOff>
    </xdr:to>
    <xdr:sp macro="" textlink="">
      <xdr:nvSpPr>
        <xdr:cNvPr id="45" name="Plus 44"/>
        <xdr:cNvSpPr/>
      </xdr:nvSpPr>
      <xdr:spPr>
        <a:xfrm>
          <a:off x="35337750" y="8439150"/>
          <a:ext cx="154828" cy="164060"/>
        </a:xfrm>
        <a:prstGeom prst="mathPlus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41</xdr:col>
      <xdr:colOff>381000</xdr:colOff>
      <xdr:row>41</xdr:row>
      <xdr:rowOff>0</xdr:rowOff>
    </xdr:from>
    <xdr:to>
      <xdr:col>41</xdr:col>
      <xdr:colOff>381000</xdr:colOff>
      <xdr:row>42</xdr:row>
      <xdr:rowOff>11206</xdr:rowOff>
    </xdr:to>
    <xdr:cxnSp macro="">
      <xdr:nvCxnSpPr>
        <xdr:cNvPr id="46" name="Straight Connector 45"/>
        <xdr:cNvCxnSpPr/>
      </xdr:nvCxnSpPr>
      <xdr:spPr>
        <a:xfrm>
          <a:off x="36185475" y="8620125"/>
          <a:ext cx="0" cy="220756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381000</xdr:colOff>
      <xdr:row>35</xdr:row>
      <xdr:rowOff>0</xdr:rowOff>
    </xdr:from>
    <xdr:to>
      <xdr:col>41</xdr:col>
      <xdr:colOff>381000</xdr:colOff>
      <xdr:row>39</xdr:row>
      <xdr:rowOff>0</xdr:rowOff>
    </xdr:to>
    <xdr:cxnSp macro="">
      <xdr:nvCxnSpPr>
        <xdr:cNvPr id="47" name="Straight Connector 46"/>
        <xdr:cNvCxnSpPr/>
      </xdr:nvCxnSpPr>
      <xdr:spPr>
        <a:xfrm>
          <a:off x="36185475" y="7334250"/>
          <a:ext cx="0" cy="866775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361950</xdr:colOff>
      <xdr:row>37</xdr:row>
      <xdr:rowOff>123825</xdr:rowOff>
    </xdr:from>
    <xdr:to>
      <xdr:col>41</xdr:col>
      <xdr:colOff>381000</xdr:colOff>
      <xdr:row>37</xdr:row>
      <xdr:rowOff>123825</xdr:rowOff>
    </xdr:to>
    <xdr:cxnSp macro="">
      <xdr:nvCxnSpPr>
        <xdr:cNvPr id="1031" name="Straight Connector 1030"/>
        <xdr:cNvCxnSpPr/>
      </xdr:nvCxnSpPr>
      <xdr:spPr>
        <a:xfrm>
          <a:off x="34642425" y="7877175"/>
          <a:ext cx="1543050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372717</xdr:colOff>
      <xdr:row>37</xdr:row>
      <xdr:rowOff>124239</xdr:rowOff>
    </xdr:from>
    <xdr:to>
      <xdr:col>39</xdr:col>
      <xdr:colOff>372718</xdr:colOff>
      <xdr:row>39</xdr:row>
      <xdr:rowOff>33130</xdr:rowOff>
    </xdr:to>
    <xdr:cxnSp macro="">
      <xdr:nvCxnSpPr>
        <xdr:cNvPr id="52" name="Straight Connector 51"/>
        <xdr:cNvCxnSpPr/>
      </xdr:nvCxnSpPr>
      <xdr:spPr>
        <a:xfrm>
          <a:off x="34646152" y="7827065"/>
          <a:ext cx="1" cy="356152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60</xdr:row>
      <xdr:rowOff>107576</xdr:rowOff>
    </xdr:from>
    <xdr:to>
      <xdr:col>33</xdr:col>
      <xdr:colOff>693963</xdr:colOff>
      <xdr:row>75</xdr:row>
      <xdr:rowOff>108857</xdr:rowOff>
    </xdr:to>
    <xdr:graphicFrame macro="">
      <xdr:nvGraphicFramePr>
        <xdr:cNvPr id="1033" name="Chart 10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42</xdr:col>
      <xdr:colOff>312961</xdr:colOff>
      <xdr:row>31</xdr:row>
      <xdr:rowOff>13607</xdr:rowOff>
    </xdr:from>
    <xdr:to>
      <xdr:col>42</xdr:col>
      <xdr:colOff>467789</xdr:colOff>
      <xdr:row>31</xdr:row>
      <xdr:rowOff>177667</xdr:rowOff>
    </xdr:to>
    <xdr:sp macro="" textlink="">
      <xdr:nvSpPr>
        <xdr:cNvPr id="55" name="Plus 54"/>
        <xdr:cNvSpPr/>
      </xdr:nvSpPr>
      <xdr:spPr>
        <a:xfrm>
          <a:off x="36616818" y="6490607"/>
          <a:ext cx="154828" cy="164060"/>
        </a:xfrm>
        <a:prstGeom prst="mathPlus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C000"/>
  </sheetPr>
  <dimension ref="A1:Y74"/>
  <sheetViews>
    <sheetView tabSelected="1" zoomScale="70" zoomScaleNormal="70" workbookViewId="0">
      <selection activeCell="Z29" sqref="Z29"/>
    </sheetView>
  </sheetViews>
  <sheetFormatPr defaultRowHeight="14.25"/>
  <sheetData>
    <row r="1" spans="1:25" ht="18">
      <c r="A1" s="47" t="s">
        <v>214</v>
      </c>
      <c r="B1" s="43"/>
      <c r="C1" s="43"/>
      <c r="D1" s="43"/>
      <c r="E1" s="43"/>
      <c r="F1" s="43"/>
      <c r="G1" s="43"/>
      <c r="H1" s="43"/>
      <c r="I1" s="104"/>
      <c r="J1" s="104"/>
      <c r="K1" s="105" t="s">
        <v>229</v>
      </c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4"/>
    </row>
    <row r="2" spans="1:25">
      <c r="A2" s="48"/>
      <c r="B2" s="48"/>
      <c r="C2" s="48"/>
      <c r="D2" s="48"/>
      <c r="E2" s="48"/>
      <c r="F2" s="48"/>
      <c r="G2" s="48"/>
      <c r="H2" s="43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 t="s">
        <v>171</v>
      </c>
      <c r="U2" s="104"/>
      <c r="V2" s="104" t="s">
        <v>238</v>
      </c>
      <c r="W2" s="104"/>
      <c r="X2" s="104"/>
      <c r="Y2" s="104"/>
    </row>
    <row r="3" spans="1:25" ht="16.5" customHeight="1">
      <c r="A3" s="49" t="s">
        <v>203</v>
      </c>
      <c r="B3" s="48"/>
      <c r="C3" s="48"/>
      <c r="D3" s="48"/>
      <c r="E3" s="48"/>
      <c r="F3" s="48"/>
      <c r="G3" s="48"/>
      <c r="H3" s="43"/>
      <c r="I3" s="107" t="s">
        <v>241</v>
      </c>
      <c r="J3" s="104"/>
      <c r="K3" s="104"/>
      <c r="L3" s="104"/>
      <c r="M3" s="104"/>
      <c r="N3" s="104"/>
      <c r="O3" s="104"/>
      <c r="P3" s="104"/>
      <c r="Q3" s="104"/>
      <c r="R3" s="104"/>
      <c r="S3" s="104"/>
      <c r="T3" s="104"/>
      <c r="U3" s="104"/>
      <c r="V3" s="104"/>
      <c r="W3" s="104"/>
      <c r="X3" s="104"/>
      <c r="Y3" s="104"/>
    </row>
    <row r="4" spans="1:25" ht="16.5">
      <c r="A4" s="49" t="s">
        <v>223</v>
      </c>
      <c r="B4" s="48"/>
      <c r="C4" s="48"/>
      <c r="D4" s="48"/>
      <c r="E4" s="48"/>
      <c r="F4" s="48"/>
      <c r="G4" s="48"/>
      <c r="H4" s="43"/>
      <c r="I4" s="107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</row>
    <row r="5" spans="1:25" ht="16.5">
      <c r="A5" s="49" t="s">
        <v>225</v>
      </c>
      <c r="B5" s="48"/>
      <c r="C5" s="48"/>
      <c r="D5" s="48"/>
      <c r="E5" s="49"/>
      <c r="F5" s="48"/>
      <c r="G5" s="48"/>
      <c r="H5" s="43"/>
      <c r="I5" s="107"/>
      <c r="J5" s="104"/>
      <c r="K5" s="104"/>
      <c r="L5" s="104"/>
      <c r="M5" s="104"/>
      <c r="N5" s="104"/>
      <c r="O5" s="104"/>
      <c r="P5" s="104"/>
      <c r="Q5" s="104"/>
      <c r="R5" s="104"/>
      <c r="S5" s="104"/>
      <c r="T5" s="104"/>
      <c r="U5" s="104"/>
      <c r="V5" s="104"/>
      <c r="W5" s="104"/>
      <c r="X5" s="104"/>
      <c r="Y5" s="104"/>
    </row>
    <row r="6" spans="1:25" ht="16.5">
      <c r="A6" s="49" t="s">
        <v>205</v>
      </c>
      <c r="B6" s="48"/>
      <c r="C6" s="48"/>
      <c r="D6" s="48"/>
      <c r="E6" s="48"/>
      <c r="F6" s="48"/>
      <c r="G6" s="48"/>
      <c r="H6" s="43"/>
      <c r="I6" s="107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04"/>
      <c r="X6" s="104"/>
      <c r="Y6" s="104"/>
    </row>
    <row r="7" spans="1:25" ht="16.5">
      <c r="A7" s="49" t="s">
        <v>226</v>
      </c>
      <c r="B7" s="48"/>
      <c r="C7" s="48"/>
      <c r="D7" s="48"/>
      <c r="E7" s="48"/>
      <c r="F7" s="48"/>
      <c r="G7" s="48"/>
      <c r="H7" s="43"/>
      <c r="I7" s="104"/>
      <c r="J7" s="104"/>
      <c r="K7" s="104"/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</row>
    <row r="8" spans="1:25" ht="16.5">
      <c r="A8" s="49" t="s">
        <v>224</v>
      </c>
      <c r="B8" s="48"/>
      <c r="C8" s="48"/>
      <c r="D8" s="48"/>
      <c r="E8" s="48"/>
      <c r="F8" s="48"/>
      <c r="G8" s="48"/>
      <c r="H8" s="43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</row>
    <row r="9" spans="1:25" ht="16.5">
      <c r="A9" s="49" t="s">
        <v>202</v>
      </c>
      <c r="B9" s="48"/>
      <c r="C9" s="48"/>
      <c r="D9" s="48"/>
      <c r="E9" s="48"/>
      <c r="F9" s="48"/>
      <c r="G9" s="48"/>
      <c r="H9" s="43"/>
      <c r="I9" s="104"/>
      <c r="J9" s="104"/>
      <c r="K9" s="104"/>
      <c r="L9" s="104"/>
      <c r="M9" s="104"/>
      <c r="N9" s="104"/>
      <c r="O9" s="104"/>
      <c r="P9" s="104"/>
      <c r="Q9" s="104"/>
      <c r="R9" s="104"/>
      <c r="S9" s="104"/>
      <c r="T9" s="104"/>
      <c r="U9" s="104"/>
      <c r="V9" s="104"/>
      <c r="W9" s="104"/>
      <c r="X9" s="104"/>
      <c r="Y9" s="104"/>
    </row>
    <row r="10" spans="1:25" ht="16.5">
      <c r="A10" s="49" t="s">
        <v>204</v>
      </c>
      <c r="B10" s="48"/>
      <c r="C10" s="48"/>
      <c r="D10" s="48"/>
      <c r="E10" s="48"/>
      <c r="F10" s="48"/>
      <c r="G10" s="48"/>
      <c r="H10" s="43"/>
      <c r="I10" s="104"/>
      <c r="J10" s="104"/>
      <c r="K10" s="104"/>
      <c r="L10" s="104"/>
      <c r="M10" s="104"/>
      <c r="N10" s="104"/>
      <c r="O10" s="104"/>
      <c r="P10" s="104"/>
      <c r="Q10" s="104"/>
      <c r="R10" s="104"/>
      <c r="S10" s="104"/>
      <c r="T10" s="104"/>
      <c r="U10" s="104"/>
      <c r="V10" s="104"/>
      <c r="W10" s="104"/>
      <c r="X10" s="104"/>
      <c r="Y10" s="104"/>
    </row>
    <row r="11" spans="1:25" ht="16.5">
      <c r="A11" s="49" t="s">
        <v>213</v>
      </c>
      <c r="B11" s="48"/>
      <c r="C11" s="48"/>
      <c r="D11" s="48"/>
      <c r="E11" s="48"/>
      <c r="F11" s="48"/>
      <c r="G11" s="48"/>
      <c r="H11" s="43"/>
      <c r="I11" s="104"/>
      <c r="J11" s="104"/>
      <c r="K11" s="104"/>
      <c r="L11" s="104"/>
      <c r="M11" s="104"/>
      <c r="N11" s="104"/>
      <c r="O11" s="104"/>
      <c r="P11" s="104"/>
      <c r="Q11" s="104"/>
      <c r="R11" s="104"/>
      <c r="S11" s="104"/>
      <c r="T11" s="104"/>
      <c r="U11" s="104"/>
      <c r="V11" s="104"/>
      <c r="W11" s="104"/>
      <c r="X11" s="104"/>
      <c r="Y11" s="104"/>
    </row>
    <row r="12" spans="1:25" ht="16.5">
      <c r="A12" s="49" t="s">
        <v>227</v>
      </c>
      <c r="B12" s="43"/>
      <c r="C12" s="43"/>
      <c r="D12" s="43"/>
      <c r="E12" s="43"/>
      <c r="F12" s="43"/>
      <c r="G12" s="43"/>
      <c r="H12" s="43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</row>
    <row r="13" spans="1:25" ht="16.5">
      <c r="A13" s="49" t="s">
        <v>236</v>
      </c>
      <c r="B13" s="43"/>
      <c r="C13" s="43"/>
      <c r="D13" s="43"/>
      <c r="E13" s="43"/>
      <c r="F13" s="43"/>
      <c r="G13" s="43"/>
      <c r="H13" s="4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</row>
    <row r="14" spans="1:25">
      <c r="A14" s="43"/>
      <c r="B14" s="43"/>
      <c r="C14" s="43"/>
      <c r="D14" s="43"/>
      <c r="E14" s="43"/>
      <c r="F14" s="43"/>
      <c r="G14" s="43"/>
      <c r="H14" s="43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</row>
    <row r="15" spans="1:25">
      <c r="A15" s="43"/>
      <c r="B15" s="43"/>
      <c r="C15" s="43"/>
      <c r="D15" s="43"/>
      <c r="E15" s="43"/>
      <c r="F15" s="43"/>
      <c r="G15" s="43"/>
      <c r="H15" s="43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</row>
    <row r="16" spans="1:25" ht="15">
      <c r="A16" s="47" t="s">
        <v>231</v>
      </c>
      <c r="B16" s="43"/>
      <c r="C16" s="43"/>
      <c r="D16" s="43"/>
      <c r="E16" s="43"/>
      <c r="F16" s="43"/>
      <c r="G16" s="43"/>
      <c r="H16" s="43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</row>
    <row r="17" spans="1:25">
      <c r="A17" s="43"/>
      <c r="B17" s="43"/>
      <c r="C17" s="43"/>
      <c r="D17" s="43"/>
      <c r="E17" s="43"/>
      <c r="F17" s="43"/>
      <c r="G17" s="43"/>
      <c r="H17" s="43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</row>
    <row r="18" spans="1:25">
      <c r="A18" s="43" t="s">
        <v>232</v>
      </c>
      <c r="B18" s="43"/>
      <c r="C18" s="43"/>
      <c r="D18" s="43"/>
      <c r="E18" s="43"/>
      <c r="F18" s="43"/>
      <c r="G18" s="43"/>
      <c r="H18" s="43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</row>
    <row r="19" spans="1:25">
      <c r="A19" s="43" t="s">
        <v>239</v>
      </c>
      <c r="B19" s="43"/>
      <c r="C19" s="43"/>
      <c r="D19" s="43"/>
      <c r="E19" s="43"/>
      <c r="F19" s="43"/>
      <c r="G19" s="43"/>
      <c r="H19" s="43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</row>
    <row r="20" spans="1:25">
      <c r="A20" s="43"/>
      <c r="B20" s="43"/>
      <c r="C20" s="43"/>
      <c r="D20" s="43"/>
      <c r="E20" s="43"/>
      <c r="F20" s="43"/>
      <c r="G20" s="43"/>
      <c r="H20" s="43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</row>
    <row r="21" spans="1:25">
      <c r="A21" s="43"/>
      <c r="B21" s="43"/>
      <c r="C21" s="43"/>
      <c r="D21" s="43"/>
      <c r="E21" s="43"/>
      <c r="F21" s="43"/>
      <c r="G21" s="43"/>
      <c r="H21" s="43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</row>
    <row r="22" spans="1:25">
      <c r="A22" s="43"/>
      <c r="B22" s="43"/>
      <c r="C22" s="43"/>
      <c r="D22" s="43"/>
      <c r="E22" s="43"/>
      <c r="F22" s="43"/>
      <c r="G22" s="43"/>
      <c r="H22" s="43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</row>
    <row r="23" spans="1:25">
      <c r="A23" s="43"/>
      <c r="B23" s="43"/>
      <c r="C23" s="43"/>
      <c r="D23" s="43"/>
      <c r="E23" s="43"/>
      <c r="F23" s="43"/>
      <c r="G23" s="43"/>
      <c r="H23" s="4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</row>
    <row r="24" spans="1:25">
      <c r="A24" s="43"/>
      <c r="B24" s="43"/>
      <c r="C24" s="43"/>
      <c r="D24" s="43"/>
      <c r="E24" s="43"/>
      <c r="F24" s="43"/>
      <c r="G24" s="43"/>
      <c r="H24" s="43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</row>
    <row r="25" spans="1:25">
      <c r="A25" s="43"/>
      <c r="B25" s="43"/>
      <c r="C25" s="43"/>
      <c r="D25" s="43"/>
      <c r="E25" s="43"/>
      <c r="F25" s="43"/>
      <c r="G25" s="43"/>
      <c r="H25" s="43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</row>
    <row r="26" spans="1:25">
      <c r="A26" s="43"/>
      <c r="B26" s="43"/>
      <c r="C26" s="43"/>
      <c r="D26" s="43"/>
      <c r="E26" s="43"/>
      <c r="F26" s="43"/>
      <c r="G26" s="43"/>
      <c r="H26" s="43"/>
      <c r="I26" s="104"/>
      <c r="J26" s="104"/>
      <c r="K26" s="104"/>
      <c r="L26" s="104" t="s">
        <v>237</v>
      </c>
      <c r="M26" s="104"/>
      <c r="N26" s="104"/>
      <c r="O26" s="104"/>
      <c r="P26" s="104"/>
      <c r="Q26" s="104" t="s">
        <v>1</v>
      </c>
      <c r="R26" s="104"/>
      <c r="S26" s="104"/>
      <c r="U26" s="104"/>
      <c r="V26" s="104"/>
      <c r="W26" s="104"/>
      <c r="X26" s="104"/>
      <c r="Y26" s="104"/>
    </row>
    <row r="27" spans="1:25">
      <c r="A27" s="43"/>
      <c r="B27" s="43"/>
      <c r="C27" s="43"/>
      <c r="D27" s="43"/>
      <c r="E27" s="43"/>
      <c r="F27" s="43"/>
      <c r="G27" s="43"/>
      <c r="H27" s="43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</row>
    <row r="28" spans="1:25">
      <c r="A28" s="43"/>
      <c r="B28" s="43"/>
      <c r="C28" s="43"/>
      <c r="D28" s="43"/>
      <c r="E28" s="43"/>
      <c r="F28" s="43"/>
      <c r="G28" s="43"/>
      <c r="H28" s="43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</row>
    <row r="29" spans="1:25">
      <c r="A29" s="43"/>
      <c r="B29" s="43"/>
      <c r="C29" s="43"/>
      <c r="D29" s="43"/>
      <c r="E29" s="43"/>
      <c r="F29" s="43"/>
      <c r="G29" s="43"/>
      <c r="H29" s="43"/>
      <c r="I29" s="104"/>
      <c r="J29" s="104"/>
      <c r="K29" s="104" t="s">
        <v>240</v>
      </c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</row>
    <row r="30" spans="1:25">
      <c r="A30" s="43"/>
      <c r="B30" s="43"/>
      <c r="C30" s="43"/>
      <c r="D30" s="43"/>
      <c r="E30" s="43"/>
      <c r="F30" s="43"/>
      <c r="G30" s="43"/>
      <c r="H30" s="43"/>
      <c r="I30" s="104"/>
      <c r="J30" s="104"/>
      <c r="K30" s="104"/>
      <c r="L30" s="104"/>
      <c r="M30" s="104" t="s">
        <v>242</v>
      </c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</row>
    <row r="31" spans="1:25">
      <c r="A31" s="43"/>
      <c r="B31" s="43"/>
      <c r="C31" s="43"/>
      <c r="D31" s="43"/>
      <c r="E31" s="43"/>
      <c r="F31" s="43"/>
      <c r="G31" s="43"/>
      <c r="H31" s="43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</row>
    <row r="32" spans="1:25">
      <c r="A32" s="43"/>
      <c r="B32" s="43"/>
      <c r="C32" s="43"/>
      <c r="D32" s="43"/>
      <c r="E32" s="43"/>
      <c r="F32" s="43"/>
      <c r="G32" s="43"/>
      <c r="H32" s="43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</row>
    <row r="33" spans="1:25">
      <c r="A33" s="43"/>
      <c r="B33" s="43"/>
      <c r="C33" s="43"/>
      <c r="D33" s="43"/>
      <c r="E33" s="43"/>
      <c r="F33" s="43"/>
      <c r="G33" s="43"/>
      <c r="H33" s="4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</row>
    <row r="34" spans="1:25">
      <c r="A34" s="43"/>
      <c r="B34" s="43"/>
      <c r="C34" s="43"/>
      <c r="D34" s="43"/>
      <c r="E34" s="43"/>
      <c r="F34" s="43"/>
      <c r="G34" s="43"/>
      <c r="H34" s="43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</row>
    <row r="35" spans="1:25">
      <c r="A35" s="43"/>
      <c r="B35" s="43"/>
      <c r="C35" s="43"/>
      <c r="D35" s="43"/>
      <c r="E35" s="43"/>
      <c r="F35" s="43"/>
      <c r="G35" s="43"/>
      <c r="H35" s="43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</row>
    <row r="36" spans="1:25">
      <c r="A36" s="43"/>
      <c r="B36" s="43"/>
      <c r="C36" s="43"/>
      <c r="D36" s="43"/>
      <c r="E36" s="43"/>
      <c r="F36" s="43"/>
      <c r="G36" s="43"/>
      <c r="H36" s="43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</row>
    <row r="37" spans="1:25">
      <c r="A37" s="43"/>
      <c r="B37" s="43"/>
      <c r="C37" s="43"/>
      <c r="D37" s="43"/>
      <c r="E37" s="43"/>
      <c r="F37" s="43"/>
      <c r="G37" s="43"/>
      <c r="H37" s="43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</row>
    <row r="38" spans="1:25">
      <c r="A38" s="43"/>
      <c r="B38" s="43"/>
      <c r="C38" s="43"/>
      <c r="D38" s="43"/>
      <c r="E38" s="43"/>
      <c r="F38" s="43"/>
      <c r="G38" s="43"/>
      <c r="H38" s="43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</row>
    <row r="39" spans="1:25">
      <c r="A39" s="43"/>
      <c r="B39" s="43"/>
      <c r="C39" s="43"/>
      <c r="D39" s="43"/>
      <c r="E39" s="43"/>
      <c r="F39" s="43"/>
      <c r="G39" s="43"/>
      <c r="H39" s="43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</row>
    <row r="40" spans="1:25">
      <c r="A40" s="43"/>
      <c r="B40" s="43"/>
      <c r="C40" s="43"/>
      <c r="D40" s="43"/>
      <c r="E40" s="43"/>
      <c r="F40" s="43"/>
      <c r="G40" s="43"/>
      <c r="H40" s="43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</row>
    <row r="41" spans="1:25">
      <c r="A41" s="43"/>
      <c r="B41" s="43"/>
      <c r="C41" s="43"/>
      <c r="D41" s="43"/>
      <c r="E41" s="43"/>
      <c r="F41" s="43"/>
      <c r="G41" s="43"/>
      <c r="H41" s="43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</row>
    <row r="42" spans="1:25">
      <c r="A42" s="43"/>
      <c r="B42" s="43"/>
      <c r="C42" s="43"/>
      <c r="D42" s="43"/>
      <c r="E42" s="43"/>
      <c r="F42" s="43"/>
      <c r="G42" s="43"/>
      <c r="H42" s="43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</row>
    <row r="43" spans="1:25">
      <c r="A43" s="43"/>
      <c r="B43" s="43"/>
      <c r="C43" s="43"/>
      <c r="D43" s="43"/>
      <c r="E43" s="43"/>
      <c r="F43" s="43"/>
      <c r="G43" s="43"/>
      <c r="H43" s="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</row>
    <row r="44" spans="1:25">
      <c r="A44" s="43"/>
      <c r="B44" s="43"/>
      <c r="C44" s="43"/>
      <c r="D44" s="43"/>
      <c r="E44" s="43"/>
      <c r="F44" s="43"/>
      <c r="G44" s="43"/>
      <c r="H44" s="43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</row>
    <row r="45" spans="1:25">
      <c r="A45" s="43"/>
      <c r="B45" s="43"/>
      <c r="C45" s="43"/>
      <c r="D45" s="43"/>
      <c r="E45" s="43"/>
      <c r="F45" s="43"/>
      <c r="G45" s="43"/>
      <c r="H45" s="43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</row>
    <row r="46" spans="1:25">
      <c r="A46" s="43"/>
      <c r="B46" s="43"/>
      <c r="C46" s="43"/>
      <c r="D46" s="43"/>
      <c r="E46" s="43"/>
      <c r="F46" s="43"/>
      <c r="G46" s="43"/>
      <c r="H46" s="43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</row>
    <row r="47" spans="1:25">
      <c r="A47" s="43"/>
      <c r="B47" s="43"/>
      <c r="C47" s="43"/>
      <c r="D47" s="43"/>
      <c r="E47" s="43"/>
      <c r="F47" s="43"/>
      <c r="G47" s="43"/>
      <c r="H47" s="43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</row>
    <row r="48" spans="1:25">
      <c r="A48" s="43"/>
      <c r="B48" s="43"/>
      <c r="C48" s="43"/>
      <c r="D48" s="43"/>
      <c r="E48" s="43"/>
      <c r="F48" s="43"/>
      <c r="G48" s="43"/>
      <c r="H48" s="43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</row>
    <row r="49" spans="1:25">
      <c r="A49" s="43"/>
      <c r="B49" s="43"/>
      <c r="C49" s="43"/>
      <c r="D49" s="43"/>
      <c r="E49" s="43"/>
      <c r="F49" s="43"/>
      <c r="G49" s="43"/>
      <c r="H49" s="43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</row>
    <row r="50" spans="1:25">
      <c r="A50" s="43"/>
      <c r="B50" s="43"/>
      <c r="C50" s="43"/>
      <c r="D50" s="43"/>
      <c r="E50" s="43"/>
      <c r="F50" s="43"/>
      <c r="G50" s="43"/>
      <c r="H50" s="43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</row>
    <row r="51" spans="1:25">
      <c r="A51" s="43"/>
      <c r="B51" s="43"/>
      <c r="C51" s="43"/>
      <c r="D51" s="43"/>
      <c r="E51" s="43"/>
      <c r="F51" s="43"/>
      <c r="G51" s="43"/>
      <c r="H51" s="43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</row>
    <row r="52" spans="1:25">
      <c r="A52" s="43"/>
      <c r="B52" s="43"/>
      <c r="C52" s="43"/>
      <c r="D52" s="43"/>
      <c r="E52" s="43"/>
      <c r="F52" s="43"/>
      <c r="G52" s="43"/>
      <c r="H52" s="43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</row>
    <row r="53" spans="1:25">
      <c r="A53" s="43"/>
      <c r="B53" s="43"/>
      <c r="C53" s="43"/>
      <c r="D53" s="43"/>
      <c r="E53" s="43"/>
      <c r="F53" s="43"/>
      <c r="G53" s="43"/>
      <c r="H53" s="4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</row>
    <row r="54" spans="1:25">
      <c r="A54" s="43"/>
      <c r="B54" s="43"/>
      <c r="C54" s="43"/>
      <c r="D54" s="43"/>
      <c r="E54" s="43"/>
      <c r="F54" s="43"/>
      <c r="G54" s="43"/>
      <c r="H54" s="43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</row>
    <row r="55" spans="1:25">
      <c r="A55" s="43"/>
      <c r="B55" s="43"/>
      <c r="C55" s="43"/>
      <c r="D55" s="43"/>
      <c r="E55" s="43"/>
      <c r="F55" s="43"/>
      <c r="G55" s="43"/>
      <c r="H55" s="43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</row>
    <row r="56" spans="1:25">
      <c r="A56" s="43"/>
      <c r="B56" s="43"/>
      <c r="C56" s="43"/>
      <c r="D56" s="43"/>
      <c r="E56" s="43"/>
      <c r="F56" s="43"/>
      <c r="G56" s="43"/>
      <c r="H56" s="43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</row>
    <row r="57" spans="1:25">
      <c r="A57" s="43"/>
      <c r="B57" s="43"/>
      <c r="C57" s="43"/>
      <c r="D57" s="43"/>
      <c r="E57" s="43"/>
      <c r="F57" s="43"/>
      <c r="G57" s="43"/>
      <c r="H57" s="43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</row>
    <row r="58" spans="1:25">
      <c r="A58" s="43"/>
      <c r="B58" s="43"/>
      <c r="C58" s="43"/>
      <c r="D58" s="43"/>
      <c r="E58" s="43"/>
      <c r="F58" s="43"/>
      <c r="G58" s="43"/>
      <c r="H58" s="43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</row>
    <row r="59" spans="1:25">
      <c r="A59" s="43"/>
      <c r="B59" s="43"/>
      <c r="C59" s="43"/>
      <c r="D59" s="43"/>
      <c r="E59" s="43"/>
      <c r="F59" s="43"/>
      <c r="G59" s="43"/>
      <c r="H59" s="43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</row>
    <row r="60" spans="1:25">
      <c r="A60" s="43"/>
      <c r="B60" s="43"/>
      <c r="C60" s="43"/>
      <c r="D60" s="43"/>
      <c r="E60" s="43"/>
      <c r="F60" s="43"/>
      <c r="G60" s="43"/>
      <c r="H60" s="43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</row>
    <row r="61" spans="1:25">
      <c r="A61" s="43"/>
      <c r="B61" s="43"/>
      <c r="C61" s="43"/>
      <c r="D61" s="43"/>
      <c r="E61" s="43"/>
      <c r="F61" s="43"/>
      <c r="G61" s="43"/>
      <c r="H61" s="43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</row>
    <row r="62" spans="1:25">
      <c r="A62" s="43"/>
      <c r="B62" s="43"/>
      <c r="C62" s="43"/>
      <c r="D62" s="43"/>
      <c r="E62" s="43"/>
      <c r="F62" s="43"/>
      <c r="G62" s="43"/>
      <c r="H62" s="43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</row>
    <row r="63" spans="1:25">
      <c r="A63" s="43"/>
      <c r="B63" s="43"/>
      <c r="C63" s="43"/>
      <c r="D63" s="43"/>
      <c r="E63" s="43"/>
      <c r="F63" s="43"/>
      <c r="G63" s="43"/>
      <c r="H63" s="4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</row>
    <row r="64" spans="1:25">
      <c r="A64" s="43"/>
      <c r="B64" s="43"/>
      <c r="C64" s="43"/>
      <c r="D64" s="43"/>
      <c r="E64" s="43"/>
      <c r="F64" s="43"/>
      <c r="G64" s="43"/>
      <c r="H64" s="43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</row>
    <row r="65" spans="1:25">
      <c r="A65" s="43"/>
      <c r="B65" s="43"/>
      <c r="C65" s="43"/>
      <c r="D65" s="43"/>
      <c r="E65" s="43"/>
      <c r="F65" s="43"/>
      <c r="G65" s="43"/>
      <c r="H65" s="43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</row>
    <row r="66" spans="1:25">
      <c r="A66" s="43"/>
      <c r="B66" s="43"/>
      <c r="C66" s="43"/>
      <c r="D66" s="43"/>
      <c r="E66" s="43"/>
      <c r="F66" s="43"/>
      <c r="G66" s="43"/>
      <c r="H66" s="43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</row>
    <row r="67" spans="1:25">
      <c r="A67" s="43"/>
      <c r="B67" s="43"/>
      <c r="C67" s="43"/>
      <c r="D67" s="43"/>
      <c r="E67" s="43"/>
      <c r="F67" s="43"/>
      <c r="G67" s="43"/>
      <c r="H67" s="43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</row>
    <row r="68" spans="1:25">
      <c r="A68" s="43"/>
      <c r="B68" s="43"/>
      <c r="C68" s="43"/>
      <c r="D68" s="43"/>
      <c r="E68" s="43"/>
      <c r="F68" s="43"/>
      <c r="G68" s="43"/>
      <c r="H68" s="43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</row>
    <row r="69" spans="1:25">
      <c r="A69" s="43"/>
      <c r="B69" s="43"/>
      <c r="C69" s="43"/>
      <c r="D69" s="43"/>
      <c r="E69" s="43"/>
      <c r="F69" s="43"/>
      <c r="G69" s="43"/>
      <c r="H69" s="43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</row>
    <row r="70" spans="1:25">
      <c r="A70" s="43"/>
      <c r="B70" s="43"/>
      <c r="C70" s="43"/>
      <c r="D70" s="43"/>
      <c r="E70" s="43"/>
      <c r="F70" s="43"/>
      <c r="G70" s="43"/>
      <c r="H70" s="43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</row>
    <row r="71" spans="1:25">
      <c r="A71" s="43"/>
      <c r="B71" s="43"/>
      <c r="C71" s="43"/>
      <c r="D71" s="43"/>
      <c r="E71" s="43"/>
      <c r="F71" s="43"/>
      <c r="G71" s="43"/>
      <c r="H71" s="43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</row>
    <row r="72" spans="1:25">
      <c r="A72" s="43"/>
      <c r="B72" s="43"/>
      <c r="C72" s="43"/>
      <c r="D72" s="43"/>
      <c r="E72" s="43"/>
      <c r="F72" s="43"/>
      <c r="G72" s="43"/>
      <c r="H72" s="43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</row>
    <row r="73" spans="1:25">
      <c r="A73" s="43"/>
      <c r="B73" s="43"/>
      <c r="C73" s="43"/>
      <c r="D73" s="43"/>
      <c r="E73" s="43"/>
      <c r="F73" s="43"/>
      <c r="G73" s="43"/>
      <c r="H73" s="4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</row>
    <row r="74" spans="1:25">
      <c r="A74" s="43"/>
      <c r="B74" s="43"/>
      <c r="C74" s="43"/>
      <c r="D74" s="43"/>
      <c r="E74" s="43"/>
      <c r="F74" s="43"/>
      <c r="G74" s="43"/>
      <c r="H74" s="43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</row>
  </sheetData>
  <mergeCells count="1">
    <mergeCell ref="I3:I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C000"/>
  </sheetPr>
  <dimension ref="A1:B28"/>
  <sheetViews>
    <sheetView workbookViewId="0">
      <selection activeCell="H19" sqref="H19"/>
    </sheetView>
  </sheetViews>
  <sheetFormatPr defaultRowHeight="14.25"/>
  <cols>
    <col min="2" max="2" width="53.77734375" bestFit="1" customWidth="1"/>
    <col min="9" max="9" width="8.88671875" customWidth="1"/>
  </cols>
  <sheetData>
    <row r="1" spans="1:2">
      <c r="A1" t="s">
        <v>97</v>
      </c>
    </row>
    <row r="2" spans="1:2" ht="18">
      <c r="B2" s="35" t="s">
        <v>98</v>
      </c>
    </row>
    <row r="3" spans="1:2" ht="16.5">
      <c r="B3" s="4" t="s">
        <v>99</v>
      </c>
    </row>
    <row r="4" spans="1:2" ht="16.5">
      <c r="B4" s="4" t="s">
        <v>75</v>
      </c>
    </row>
    <row r="5" spans="1:2" ht="16.5">
      <c r="B5" s="4" t="s">
        <v>40</v>
      </c>
    </row>
    <row r="6" spans="1:2" ht="16.5">
      <c r="B6" s="4" t="s">
        <v>41</v>
      </c>
    </row>
    <row r="7" spans="1:2" ht="16.5">
      <c r="B7" s="4" t="s">
        <v>38</v>
      </c>
    </row>
    <row r="8" spans="1:2" ht="16.5">
      <c r="B8" s="4" t="s">
        <v>39</v>
      </c>
    </row>
    <row r="9" spans="1:2" ht="16.5">
      <c r="B9" s="4" t="s">
        <v>78</v>
      </c>
    </row>
    <row r="10" spans="1:2">
      <c r="B10" s="36" t="s">
        <v>89</v>
      </c>
    </row>
    <row r="11" spans="1:2" ht="16.5">
      <c r="B11" s="4" t="s">
        <v>90</v>
      </c>
    </row>
    <row r="12" spans="1:2" ht="15">
      <c r="B12" s="98" t="s">
        <v>222</v>
      </c>
    </row>
    <row r="13" spans="1:2" ht="18">
      <c r="B13" s="35" t="s">
        <v>100</v>
      </c>
    </row>
    <row r="14" spans="1:2" ht="16.5">
      <c r="B14" s="4" t="s">
        <v>95</v>
      </c>
    </row>
    <row r="15" spans="1:2" ht="18">
      <c r="B15" s="35" t="s">
        <v>101</v>
      </c>
    </row>
    <row r="16" spans="1:2" ht="16.5">
      <c r="B16" s="4" t="s">
        <v>114</v>
      </c>
    </row>
    <row r="17" spans="2:2" ht="18">
      <c r="B17" s="35" t="s">
        <v>102</v>
      </c>
    </row>
    <row r="18" spans="2:2" ht="16.5">
      <c r="B18" s="4" t="s">
        <v>115</v>
      </c>
    </row>
    <row r="19" spans="2:2" ht="18">
      <c r="B19" s="35" t="s">
        <v>103</v>
      </c>
    </row>
    <row r="20" spans="2:2" ht="16.5">
      <c r="B20" s="4" t="s">
        <v>215</v>
      </c>
    </row>
    <row r="21" spans="2:2" ht="18">
      <c r="B21" s="35" t="s">
        <v>104</v>
      </c>
    </row>
    <row r="22" spans="2:2" ht="16.5">
      <c r="B22" s="4" t="s">
        <v>216</v>
      </c>
    </row>
    <row r="23" spans="2:2" ht="18">
      <c r="B23" s="35" t="s">
        <v>105</v>
      </c>
    </row>
    <row r="24" spans="2:2" ht="16.5">
      <c r="B24" s="4" t="s">
        <v>106</v>
      </c>
    </row>
    <row r="25" spans="2:2" ht="18">
      <c r="B25" s="35" t="s">
        <v>17</v>
      </c>
    </row>
    <row r="26" spans="2:2" ht="16.5">
      <c r="B26" s="4" t="s">
        <v>107</v>
      </c>
    </row>
    <row r="27" spans="2:2" ht="18">
      <c r="B27" s="35" t="s">
        <v>234</v>
      </c>
    </row>
    <row r="28" spans="2:2" ht="16.5">
      <c r="B28" s="4" t="s">
        <v>235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43"/>
  <sheetViews>
    <sheetView topLeftCell="A18" workbookViewId="0">
      <selection sqref="A1:D41"/>
    </sheetView>
  </sheetViews>
  <sheetFormatPr defaultRowHeight="14.25"/>
  <cols>
    <col min="1" max="1" width="48" customWidth="1"/>
    <col min="2" max="2" width="2.109375" style="13" customWidth="1"/>
    <col min="3" max="3" width="64.88671875" customWidth="1"/>
  </cols>
  <sheetData>
    <row r="1" spans="1:3" s="11" customFormat="1" ht="15">
      <c r="A1" s="11" t="s">
        <v>71</v>
      </c>
    </row>
    <row r="2" spans="1:3" ht="15">
      <c r="A2" s="12" t="s">
        <v>72</v>
      </c>
      <c r="C2" s="12" t="s">
        <v>73</v>
      </c>
    </row>
    <row r="3" spans="1:3" ht="16.5">
      <c r="A3" s="5" t="s">
        <v>74</v>
      </c>
      <c r="C3" s="14" t="s">
        <v>47</v>
      </c>
    </row>
    <row r="4" spans="1:3" ht="16.5">
      <c r="A4" s="5" t="s">
        <v>75</v>
      </c>
      <c r="C4" s="5" t="s">
        <v>39</v>
      </c>
    </row>
    <row r="5" spans="1:3" ht="16.5">
      <c r="A5" s="15" t="s">
        <v>40</v>
      </c>
      <c r="C5" s="5" t="s">
        <v>38</v>
      </c>
    </row>
    <row r="6" spans="1:3" ht="16.5">
      <c r="A6" s="5" t="s">
        <v>76</v>
      </c>
      <c r="C6" s="5" t="s">
        <v>74</v>
      </c>
    </row>
    <row r="7" spans="1:3" ht="16.5">
      <c r="A7" s="5" t="s">
        <v>77</v>
      </c>
      <c r="C7" s="5" t="s">
        <v>78</v>
      </c>
    </row>
    <row r="8" spans="1:3" ht="16.5">
      <c r="A8" s="5" t="s">
        <v>41</v>
      </c>
      <c r="C8" s="5" t="s">
        <v>79</v>
      </c>
    </row>
    <row r="9" spans="1:3" ht="16.5">
      <c r="A9" s="5" t="s">
        <v>38</v>
      </c>
      <c r="C9" s="5" t="s">
        <v>37</v>
      </c>
    </row>
    <row r="10" spans="1:3" ht="16.5">
      <c r="A10" s="5" t="s">
        <v>39</v>
      </c>
      <c r="C10" s="5" t="s">
        <v>80</v>
      </c>
    </row>
    <row r="11" spans="1:3" ht="16.5">
      <c r="A11" s="5" t="s">
        <v>78</v>
      </c>
      <c r="C11" s="16" t="s">
        <v>81</v>
      </c>
    </row>
    <row r="12" spans="1:3" ht="15">
      <c r="C12" s="14" t="s">
        <v>82</v>
      </c>
    </row>
    <row r="13" spans="1:3" ht="16.5">
      <c r="A13" s="17" t="s">
        <v>83</v>
      </c>
      <c r="C13" s="5" t="s">
        <v>74</v>
      </c>
    </row>
    <row r="14" spans="1:3" ht="16.5">
      <c r="C14" s="5" t="s">
        <v>37</v>
      </c>
    </row>
    <row r="16" spans="1:3" s="11" customFormat="1" ht="15">
      <c r="A16" s="11" t="s">
        <v>84</v>
      </c>
    </row>
    <row r="17" spans="1:3" ht="15">
      <c r="A17" s="12" t="s">
        <v>72</v>
      </c>
      <c r="C17" s="12" t="s">
        <v>73</v>
      </c>
    </row>
    <row r="18" spans="1:3" ht="16.5">
      <c r="A18" s="5" t="s">
        <v>85</v>
      </c>
      <c r="C18" s="14" t="s">
        <v>47</v>
      </c>
    </row>
    <row r="19" spans="1:3" ht="16.5">
      <c r="A19" s="5" t="s">
        <v>75</v>
      </c>
      <c r="C19" s="5" t="s">
        <v>38</v>
      </c>
    </row>
    <row r="20" spans="1:3" ht="16.5">
      <c r="A20" s="15" t="s">
        <v>40</v>
      </c>
      <c r="C20" s="5" t="s">
        <v>39</v>
      </c>
    </row>
    <row r="21" spans="1:3" ht="16.5">
      <c r="A21" s="5" t="s">
        <v>76</v>
      </c>
      <c r="C21" s="5" t="s">
        <v>85</v>
      </c>
    </row>
    <row r="22" spans="1:3" ht="16.5">
      <c r="A22" s="5" t="s">
        <v>77</v>
      </c>
      <c r="C22" s="5" t="s">
        <v>86</v>
      </c>
    </row>
    <row r="23" spans="1:3" ht="16.5">
      <c r="A23" s="5" t="s">
        <v>41</v>
      </c>
      <c r="C23" s="5" t="s">
        <v>75</v>
      </c>
    </row>
    <row r="24" spans="1:3" ht="16.5">
      <c r="A24" s="5" t="s">
        <v>38</v>
      </c>
      <c r="C24" s="5" t="s">
        <v>87</v>
      </c>
    </row>
    <row r="25" spans="1:3" ht="16.5">
      <c r="A25" s="5" t="s">
        <v>39</v>
      </c>
      <c r="C25" s="5" t="s">
        <v>88</v>
      </c>
    </row>
    <row r="26" spans="1:3" ht="15">
      <c r="A26" t="s">
        <v>89</v>
      </c>
      <c r="C26" s="14" t="s">
        <v>82</v>
      </c>
    </row>
    <row r="27" spans="1:3" ht="16.5">
      <c r="A27" s="5" t="s">
        <v>90</v>
      </c>
      <c r="C27" s="15" t="s">
        <v>90</v>
      </c>
    </row>
    <row r="28" spans="1:3" ht="16.5">
      <c r="C28" s="5" t="s">
        <v>85</v>
      </c>
    </row>
    <row r="29" spans="1:3">
      <c r="A29" t="s">
        <v>91</v>
      </c>
    </row>
    <row r="31" spans="1:3" s="11" customFormat="1" ht="15">
      <c r="A31" s="11" t="s">
        <v>92</v>
      </c>
    </row>
    <row r="32" spans="1:3" ht="15">
      <c r="A32" s="12" t="s">
        <v>72</v>
      </c>
      <c r="C32" s="12" t="s">
        <v>73</v>
      </c>
    </row>
    <row r="33" spans="1:3" ht="16.5">
      <c r="A33" s="5" t="s">
        <v>85</v>
      </c>
      <c r="C33" s="14" t="s">
        <v>47</v>
      </c>
    </row>
    <row r="34" spans="1:3" ht="16.5">
      <c r="A34" s="5" t="s">
        <v>40</v>
      </c>
      <c r="C34" s="5" t="s">
        <v>85</v>
      </c>
    </row>
    <row r="35" spans="1:3" ht="16.5">
      <c r="A35" s="5" t="s">
        <v>76</v>
      </c>
      <c r="C35" s="5" t="s">
        <v>93</v>
      </c>
    </row>
    <row r="36" spans="1:3" ht="16.5">
      <c r="A36" s="5" t="s">
        <v>77</v>
      </c>
      <c r="C36" s="5" t="s">
        <v>86</v>
      </c>
    </row>
    <row r="37" spans="1:3" ht="16.5">
      <c r="A37" s="5" t="s">
        <v>41</v>
      </c>
      <c r="C37" s="5" t="s">
        <v>39</v>
      </c>
    </row>
    <row r="38" spans="1:3" ht="16.5">
      <c r="A38" s="5" t="s">
        <v>38</v>
      </c>
      <c r="C38" s="5" t="s">
        <v>94</v>
      </c>
    </row>
    <row r="39" spans="1:3" ht="16.5">
      <c r="A39" s="5" t="s">
        <v>39</v>
      </c>
      <c r="C39" s="5" t="s">
        <v>46</v>
      </c>
    </row>
    <row r="40" spans="1:3" ht="15">
      <c r="A40" t="s">
        <v>89</v>
      </c>
      <c r="C40" s="14" t="s">
        <v>82</v>
      </c>
    </row>
    <row r="41" spans="1:3" ht="16.5">
      <c r="C41" s="5" t="s">
        <v>85</v>
      </c>
    </row>
    <row r="42" spans="1:3" ht="16.5">
      <c r="C42" s="5"/>
    </row>
    <row r="43" spans="1:3" ht="16.5">
      <c r="C43" s="5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rgb="FF92D050"/>
  </sheetPr>
  <dimension ref="A1:AZ138"/>
  <sheetViews>
    <sheetView zoomScale="70" zoomScaleNormal="70" workbookViewId="0">
      <selection activeCell="F36" sqref="F36"/>
    </sheetView>
  </sheetViews>
  <sheetFormatPr defaultRowHeight="14.25" outlineLevelCol="1"/>
  <cols>
    <col min="1" max="1" width="12.77734375" bestFit="1" customWidth="1"/>
    <col min="2" max="2" width="9.5546875" customWidth="1"/>
    <col min="5" max="5" width="26.109375" customWidth="1"/>
    <col min="6" max="6" width="14.21875" customWidth="1" outlineLevel="1"/>
    <col min="7" max="7" width="13.109375" customWidth="1"/>
    <col min="8" max="8" width="11.6640625" customWidth="1"/>
    <col min="9" max="9" width="12" customWidth="1"/>
    <col min="10" max="10" width="12.5546875" customWidth="1"/>
    <col min="11" max="11" width="11.88671875" customWidth="1"/>
    <col min="12" max="12" width="11.44140625" customWidth="1"/>
    <col min="13" max="16" width="8.88671875" customWidth="1"/>
    <col min="20" max="20" width="2.77734375" customWidth="1"/>
    <col min="21" max="35" width="8.88671875" style="39"/>
    <col min="36" max="36" width="2.21875" customWidth="1"/>
    <col min="37" max="37" width="18.77734375" bestFit="1" customWidth="1"/>
    <col min="38" max="38" width="15" bestFit="1" customWidth="1"/>
    <col min="47" max="47" width="8.88671875" hidden="1" customWidth="1"/>
    <col min="48" max="48" width="49.33203125" hidden="1" customWidth="1"/>
    <col min="49" max="49" width="17" hidden="1" customWidth="1"/>
    <col min="51" max="51" width="3.21875" style="91" customWidth="1"/>
    <col min="52" max="52" width="18.21875" bestFit="1" customWidth="1"/>
  </cols>
  <sheetData>
    <row r="1" spans="1:52" ht="23.25" customHeight="1">
      <c r="A1" s="69" t="s">
        <v>0</v>
      </c>
      <c r="B1" s="37" t="s">
        <v>84</v>
      </c>
      <c r="E1" s="52" t="str">
        <f>B1</f>
        <v>PICC</v>
      </c>
      <c r="G1" s="51"/>
      <c r="H1" s="51"/>
      <c r="I1" s="51"/>
      <c r="T1" s="1"/>
      <c r="U1" s="40" t="s">
        <v>1</v>
      </c>
      <c r="AJ1" s="1"/>
      <c r="AK1" s="40" t="s">
        <v>171</v>
      </c>
      <c r="AZ1" s="103" t="s">
        <v>221</v>
      </c>
    </row>
    <row r="2" spans="1:52" ht="15" thickBot="1">
      <c r="T2" s="1"/>
      <c r="AJ2" s="1"/>
      <c r="AV2" t="s">
        <v>172</v>
      </c>
    </row>
    <row r="3" spans="1:52" ht="15">
      <c r="E3" s="63" t="s">
        <v>207</v>
      </c>
      <c r="F3" s="64">
        <v>2011</v>
      </c>
      <c r="G3" s="64">
        <v>2012</v>
      </c>
      <c r="H3" s="64">
        <v>2013</v>
      </c>
      <c r="I3" s="64">
        <v>2014</v>
      </c>
      <c r="J3" s="64">
        <v>2015</v>
      </c>
      <c r="K3" s="64">
        <v>2016</v>
      </c>
      <c r="L3" s="64">
        <v>2017</v>
      </c>
      <c r="M3" s="64">
        <v>2018</v>
      </c>
      <c r="N3" s="64">
        <v>2019</v>
      </c>
      <c r="O3" s="65">
        <v>2020</v>
      </c>
      <c r="T3" s="1"/>
      <c r="AJ3" s="1"/>
      <c r="AV3" s="2" t="s">
        <v>3</v>
      </c>
      <c r="AW3">
        <f>AL4</f>
        <v>2016</v>
      </c>
    </row>
    <row r="4" spans="1:52" ht="18.75">
      <c r="E4" s="56" t="s">
        <v>150</v>
      </c>
      <c r="F4" s="53">
        <f>F68</f>
        <v>0</v>
      </c>
      <c r="G4" s="53">
        <f t="shared" ref="G4:O4" si="0">G68</f>
        <v>0</v>
      </c>
      <c r="H4" s="53">
        <f t="shared" si="0"/>
        <v>0</v>
      </c>
      <c r="I4" s="53">
        <f t="shared" si="0"/>
        <v>0</v>
      </c>
      <c r="J4" s="53">
        <f t="shared" si="0"/>
        <v>107939161</v>
      </c>
      <c r="K4" s="53">
        <f t="shared" si="0"/>
        <v>118377308</v>
      </c>
      <c r="L4" s="53">
        <f t="shared" si="0"/>
        <v>0</v>
      </c>
      <c r="M4" s="53">
        <f t="shared" si="0"/>
        <v>0</v>
      </c>
      <c r="N4" s="53">
        <f t="shared" si="0"/>
        <v>0</v>
      </c>
      <c r="O4" s="57">
        <f t="shared" si="0"/>
        <v>0</v>
      </c>
      <c r="T4" s="1"/>
      <c r="U4" s="108" t="s">
        <v>206</v>
      </c>
      <c r="V4" s="108"/>
      <c r="W4" s="108"/>
      <c r="X4" s="108"/>
      <c r="Y4" s="108"/>
      <c r="AB4" s="108" t="s">
        <v>160</v>
      </c>
      <c r="AC4" s="108"/>
      <c r="AD4" s="108"/>
      <c r="AE4" s="108"/>
      <c r="AF4" s="108"/>
      <c r="AJ4" s="1"/>
      <c r="AK4" s="41" t="s">
        <v>118</v>
      </c>
      <c r="AL4" s="34">
        <v>2016</v>
      </c>
      <c r="AU4">
        <v>2</v>
      </c>
      <c r="AV4" s="32" t="s">
        <v>58</v>
      </c>
      <c r="AW4">
        <f>HLOOKUP($AW$3,$F$10:$O$129,AU4,FALSE)</f>
        <v>311160427</v>
      </c>
    </row>
    <row r="5" spans="1:52" ht="16.5">
      <c r="E5" s="56" t="s">
        <v>58</v>
      </c>
      <c r="F5" s="53">
        <f>F11</f>
        <v>0</v>
      </c>
      <c r="G5" s="53">
        <f t="shared" ref="G5:O5" si="1">G11</f>
        <v>0</v>
      </c>
      <c r="H5" s="53">
        <f t="shared" si="1"/>
        <v>0</v>
      </c>
      <c r="I5" s="53">
        <f t="shared" si="1"/>
        <v>0</v>
      </c>
      <c r="J5" s="53">
        <f t="shared" si="1"/>
        <v>281697916</v>
      </c>
      <c r="K5" s="53">
        <f t="shared" si="1"/>
        <v>311160427</v>
      </c>
      <c r="L5" s="53">
        <f t="shared" si="1"/>
        <v>0</v>
      </c>
      <c r="M5" s="53">
        <f t="shared" si="1"/>
        <v>0</v>
      </c>
      <c r="N5" s="53">
        <f t="shared" si="1"/>
        <v>0</v>
      </c>
      <c r="O5" s="57">
        <f t="shared" si="1"/>
        <v>0</v>
      </c>
      <c r="T5" s="1"/>
      <c r="AJ5" s="1"/>
      <c r="AK5" s="45" t="s">
        <v>172</v>
      </c>
      <c r="AL5" s="46"/>
      <c r="AU5">
        <v>3</v>
      </c>
      <c r="AV5" s="32" t="s">
        <v>119</v>
      </c>
      <c r="AW5">
        <f t="shared" ref="AW5:AW68" si="2">HLOOKUP($AW$3,$F$10:$O$129,AU5,FALSE)</f>
        <v>30386374</v>
      </c>
    </row>
    <row r="6" spans="1:52" ht="16.5">
      <c r="E6" s="56" t="s">
        <v>209</v>
      </c>
      <c r="F6" s="54">
        <f>F71</f>
        <v>0</v>
      </c>
      <c r="G6" s="54">
        <f t="shared" ref="G6:O6" si="3">G71</f>
        <v>0</v>
      </c>
      <c r="H6" s="54">
        <f t="shared" si="3"/>
        <v>0</v>
      </c>
      <c r="I6" s="54">
        <f t="shared" si="3"/>
        <v>0</v>
      </c>
      <c r="J6" s="54">
        <f t="shared" si="3"/>
        <v>21300311</v>
      </c>
      <c r="K6" s="54">
        <f t="shared" si="3"/>
        <v>18098269</v>
      </c>
      <c r="L6" s="54">
        <f t="shared" si="3"/>
        <v>0</v>
      </c>
      <c r="M6" s="54">
        <f t="shared" si="3"/>
        <v>0</v>
      </c>
      <c r="N6" s="54">
        <f t="shared" si="3"/>
        <v>0</v>
      </c>
      <c r="O6" s="58">
        <f t="shared" si="3"/>
        <v>0</v>
      </c>
      <c r="T6" s="1"/>
      <c r="AJ6" s="1"/>
      <c r="AK6" s="43" t="s">
        <v>177</v>
      </c>
      <c r="AL6" s="44">
        <f>AW65</f>
        <v>0.15288630317560525</v>
      </c>
      <c r="AU6">
        <v>4</v>
      </c>
      <c r="AV6" s="32" t="s">
        <v>102</v>
      </c>
      <c r="AW6">
        <f t="shared" si="2"/>
        <v>10521586</v>
      </c>
    </row>
    <row r="7" spans="1:52" ht="16.5">
      <c r="E7" s="56" t="s">
        <v>208</v>
      </c>
      <c r="F7" s="55" t="e">
        <f>F40</f>
        <v>#DIV/0!</v>
      </c>
      <c r="G7" s="55" t="e">
        <f t="shared" ref="G7:O7" si="4">G40</f>
        <v>#DIV/0!</v>
      </c>
      <c r="H7" s="55" t="e">
        <f t="shared" si="4"/>
        <v>#DIV/0!</v>
      </c>
      <c r="I7" s="55" t="e">
        <f t="shared" si="4"/>
        <v>#DIV/0!</v>
      </c>
      <c r="J7" s="55">
        <f t="shared" si="4"/>
        <v>0.96625407198774749</v>
      </c>
      <c r="K7" s="55">
        <f t="shared" si="4"/>
        <v>0.98253532316506109</v>
      </c>
      <c r="L7" s="55" t="e">
        <f t="shared" si="4"/>
        <v>#DIV/0!</v>
      </c>
      <c r="M7" s="55" t="e">
        <f t="shared" si="4"/>
        <v>#DIV/0!</v>
      </c>
      <c r="N7" s="55" t="e">
        <f t="shared" si="4"/>
        <v>#DIV/0!</v>
      </c>
      <c r="O7" s="59" t="e">
        <f t="shared" si="4"/>
        <v>#DIV/0!</v>
      </c>
      <c r="T7" s="1"/>
      <c r="AJ7" s="1"/>
      <c r="AK7" s="43" t="s">
        <v>178</v>
      </c>
      <c r="AL7" s="44">
        <f>AW63/AW61</f>
        <v>0.19053262302602791</v>
      </c>
      <c r="AU7">
        <v>5</v>
      </c>
      <c r="AV7" s="32" t="s">
        <v>120</v>
      </c>
      <c r="AW7">
        <f t="shared" si="2"/>
        <v>113979471</v>
      </c>
    </row>
    <row r="8" spans="1:52" ht="17.25" thickBot="1">
      <c r="E8" s="60" t="s">
        <v>113</v>
      </c>
      <c r="F8" s="61" t="e">
        <f>F129</f>
        <v>#DIV/0!</v>
      </c>
      <c r="G8" s="61" t="e">
        <f t="shared" ref="G8:O8" si="5">G129</f>
        <v>#DIV/0!</v>
      </c>
      <c r="H8" s="61" t="e">
        <f t="shared" si="5"/>
        <v>#DIV/0!</v>
      </c>
      <c r="I8" s="61" t="e">
        <f t="shared" si="5"/>
        <v>#DIV/0!</v>
      </c>
      <c r="J8" s="61">
        <f t="shared" si="5"/>
        <v>2.2562535396115995</v>
      </c>
      <c r="K8" s="61">
        <f t="shared" si="5"/>
        <v>2.8691646087124281</v>
      </c>
      <c r="L8" s="61" t="e">
        <f t="shared" si="5"/>
        <v>#DIV/0!</v>
      </c>
      <c r="M8" s="61" t="e">
        <f t="shared" si="5"/>
        <v>#DIV/0!</v>
      </c>
      <c r="N8" s="61" t="e">
        <f t="shared" si="5"/>
        <v>#DIV/0!</v>
      </c>
      <c r="O8" s="62" t="e">
        <f t="shared" si="5"/>
        <v>#DIV/0!</v>
      </c>
      <c r="T8" s="1"/>
      <c r="AJ8" s="1"/>
      <c r="AK8" s="43" t="s">
        <v>179</v>
      </c>
      <c r="AL8" s="44">
        <f>AW64/AW63</f>
        <v>0.80241535936195052</v>
      </c>
      <c r="AU8">
        <v>6</v>
      </c>
      <c r="AV8" s="18" t="s">
        <v>101</v>
      </c>
      <c r="AW8">
        <f t="shared" si="2"/>
        <v>11446672</v>
      </c>
    </row>
    <row r="9" spans="1:52" ht="16.5">
      <c r="T9" s="1"/>
      <c r="AJ9" s="1"/>
      <c r="AK9" s="43" t="s">
        <v>180</v>
      </c>
      <c r="AL9" s="44">
        <f>AW62/AW61</f>
        <v>0.19128216701802342</v>
      </c>
      <c r="AU9">
        <v>7</v>
      </c>
      <c r="AV9" s="18" t="s">
        <v>121</v>
      </c>
      <c r="AW9">
        <f t="shared" si="2"/>
        <v>270252467</v>
      </c>
    </row>
    <row r="10" spans="1:52" ht="16.5">
      <c r="A10" s="81" t="str">
        <f ca="1">IFERROR(INDIRECT($B$1&amp;"!A1"),"")</f>
        <v>RMB Thousand</v>
      </c>
      <c r="D10" s="2"/>
      <c r="E10" s="2" t="s">
        <v>3</v>
      </c>
      <c r="F10" s="2">
        <v>2011</v>
      </c>
      <c r="G10" s="2">
        <v>2012</v>
      </c>
      <c r="H10" s="2">
        <v>2013</v>
      </c>
      <c r="I10" s="2">
        <v>2014</v>
      </c>
      <c r="J10" s="2">
        <v>2015</v>
      </c>
      <c r="K10" s="2">
        <v>2016</v>
      </c>
      <c r="L10" s="3">
        <v>2017</v>
      </c>
      <c r="M10" s="3">
        <v>2018</v>
      </c>
      <c r="N10" s="3">
        <v>2019</v>
      </c>
      <c r="O10" s="3">
        <v>2020</v>
      </c>
      <c r="T10" s="1"/>
      <c r="AJ10" s="1"/>
      <c r="AK10" s="43" t="s">
        <v>181</v>
      </c>
      <c r="AL10" s="44">
        <f>(AW63-AW62)/AW61</f>
        <v>-7.4954399199549289E-4</v>
      </c>
      <c r="AU10">
        <v>8</v>
      </c>
      <c r="AV10" s="18" t="s">
        <v>10</v>
      </c>
      <c r="AW10">
        <f t="shared" si="2"/>
        <v>299713755</v>
      </c>
    </row>
    <row r="11" spans="1:52" ht="15" customHeight="1">
      <c r="A11" s="109" t="s">
        <v>4</v>
      </c>
      <c r="B11" s="109"/>
      <c r="C11" s="110" t="s">
        <v>5</v>
      </c>
      <c r="E11" s="32" t="s">
        <v>58</v>
      </c>
      <c r="F11" s="28"/>
      <c r="G11" s="28"/>
      <c r="H11" s="28"/>
      <c r="I11" s="28"/>
      <c r="J11" s="28">
        <v>281697916</v>
      </c>
      <c r="K11" s="28">
        <v>311160427</v>
      </c>
      <c r="L11" s="28"/>
      <c r="M11" s="28"/>
      <c r="N11" s="28"/>
      <c r="O11" s="28"/>
      <c r="T11" s="1"/>
      <c r="AJ11" s="1"/>
      <c r="AK11" s="43" t="s">
        <v>182</v>
      </c>
      <c r="AL11" s="44">
        <f>1-AL8</f>
        <v>0.19758464063804948</v>
      </c>
      <c r="AU11">
        <v>9</v>
      </c>
      <c r="AV11" s="18"/>
      <c r="AW11">
        <f t="shared" si="2"/>
        <v>0</v>
      </c>
    </row>
    <row r="12" spans="1:52" ht="16.5">
      <c r="A12" s="109"/>
      <c r="B12" s="109"/>
      <c r="C12" s="110"/>
      <c r="E12" s="32" t="s">
        <v>119</v>
      </c>
      <c r="F12" s="29"/>
      <c r="G12" s="29"/>
      <c r="H12" s="29"/>
      <c r="I12" s="29"/>
      <c r="J12" s="29">
        <v>29569669</v>
      </c>
      <c r="K12" s="29">
        <v>30386374</v>
      </c>
      <c r="L12" s="30"/>
      <c r="M12" s="30"/>
      <c r="N12" s="30"/>
      <c r="O12" s="30"/>
      <c r="T12" s="1"/>
      <c r="AJ12" s="1"/>
      <c r="AK12" s="43" t="s">
        <v>183</v>
      </c>
      <c r="AL12" s="44">
        <f>AL16+AL15+AL20</f>
        <v>8.4104364531110809E-2</v>
      </c>
      <c r="AU12">
        <v>10</v>
      </c>
      <c r="AV12" s="32" t="s">
        <v>122</v>
      </c>
      <c r="AW12">
        <f t="shared" si="2"/>
        <v>180480792</v>
      </c>
    </row>
    <row r="13" spans="1:52" ht="16.5">
      <c r="C13" s="110"/>
      <c r="E13" s="32" t="s">
        <v>102</v>
      </c>
      <c r="F13" s="28"/>
      <c r="G13" s="28"/>
      <c r="H13" s="28"/>
      <c r="I13" s="28"/>
      <c r="J13" s="28">
        <v>7910604</v>
      </c>
      <c r="K13" s="28">
        <v>10521586</v>
      </c>
      <c r="L13" s="28"/>
      <c r="M13" s="28"/>
      <c r="N13" s="28"/>
      <c r="O13" s="28"/>
      <c r="T13" s="1"/>
      <c r="AJ13" s="1"/>
      <c r="AK13" s="43" t="s">
        <v>184</v>
      </c>
      <c r="AL13" s="44">
        <f>AW9/AW61</f>
        <v>2.2829752725919397</v>
      </c>
      <c r="AU13">
        <v>11</v>
      </c>
      <c r="AV13" s="32" t="s">
        <v>123</v>
      </c>
      <c r="AW13">
        <f t="shared" si="2"/>
        <v>18748506</v>
      </c>
    </row>
    <row r="14" spans="1:52" ht="16.5">
      <c r="C14" s="110"/>
      <c r="E14" s="32" t="s">
        <v>120</v>
      </c>
      <c r="F14" s="29"/>
      <c r="G14" s="29"/>
      <c r="H14" s="29"/>
      <c r="I14" s="29"/>
      <c r="J14" s="29">
        <v>102532799</v>
      </c>
      <c r="K14" s="29">
        <v>113979471</v>
      </c>
      <c r="L14" s="31"/>
      <c r="M14" s="30"/>
      <c r="N14" s="30"/>
      <c r="O14" s="30"/>
      <c r="T14" s="1"/>
      <c r="AJ14" s="1"/>
      <c r="AK14" s="43" t="s">
        <v>113</v>
      </c>
      <c r="AL14" s="44">
        <f>AW122</f>
        <v>2.8691646087124281</v>
      </c>
      <c r="AU14">
        <v>12</v>
      </c>
      <c r="AV14" s="18" t="s">
        <v>14</v>
      </c>
      <c r="AW14">
        <f t="shared" si="2"/>
        <v>161732286</v>
      </c>
    </row>
    <row r="15" spans="1:52" ht="16.5">
      <c r="C15" s="110"/>
      <c r="E15" s="18" t="s">
        <v>101</v>
      </c>
      <c r="F15" s="20"/>
      <c r="G15" s="19">
        <f>G14-F14</f>
        <v>0</v>
      </c>
      <c r="H15" s="19">
        <f t="shared" ref="H15:O15" si="6">H14-G14</f>
        <v>0</v>
      </c>
      <c r="I15" s="19">
        <f t="shared" si="6"/>
        <v>0</v>
      </c>
      <c r="J15" s="19">
        <f t="shared" si="6"/>
        <v>102532799</v>
      </c>
      <c r="K15" s="19">
        <f t="shared" si="6"/>
        <v>11446672</v>
      </c>
      <c r="L15" s="19">
        <f t="shared" si="6"/>
        <v>-113979471</v>
      </c>
      <c r="M15" s="19">
        <f t="shared" si="6"/>
        <v>0</v>
      </c>
      <c r="N15" s="19">
        <f t="shared" si="6"/>
        <v>0</v>
      </c>
      <c r="O15" s="19">
        <f t="shared" si="6"/>
        <v>0</v>
      </c>
      <c r="T15" s="1"/>
      <c r="AJ15" s="1"/>
      <c r="AK15" s="43" t="s">
        <v>185</v>
      </c>
      <c r="AL15" s="44">
        <f>1-AL17</f>
        <v>1.7464676834938908E-2</v>
      </c>
      <c r="AU15">
        <v>13</v>
      </c>
      <c r="AV15" s="32" t="s">
        <v>124</v>
      </c>
      <c r="AW15">
        <f t="shared" si="2"/>
        <v>13217201</v>
      </c>
    </row>
    <row r="16" spans="1:52" ht="16.5">
      <c r="C16" s="110"/>
      <c r="D16" s="7" t="s">
        <v>32</v>
      </c>
      <c r="E16" s="18" t="s">
        <v>121</v>
      </c>
      <c r="F16" s="19">
        <f t="shared" ref="F16:O16" si="7">F11-F12-F13</f>
        <v>0</v>
      </c>
      <c r="G16" s="19">
        <f t="shared" si="7"/>
        <v>0</v>
      </c>
      <c r="H16" s="19">
        <f t="shared" si="7"/>
        <v>0</v>
      </c>
      <c r="I16" s="19">
        <f t="shared" si="7"/>
        <v>0</v>
      </c>
      <c r="J16" s="19">
        <f t="shared" si="7"/>
        <v>244217643</v>
      </c>
      <c r="K16" s="19">
        <f t="shared" si="7"/>
        <v>270252467</v>
      </c>
      <c r="L16" s="19">
        <f t="shared" si="7"/>
        <v>0</v>
      </c>
      <c r="M16" s="19">
        <f t="shared" si="7"/>
        <v>0</v>
      </c>
      <c r="N16" s="19">
        <f t="shared" si="7"/>
        <v>0</v>
      </c>
      <c r="O16" s="19">
        <f t="shared" si="7"/>
        <v>0</v>
      </c>
      <c r="T16" s="1"/>
      <c r="AJ16" s="1"/>
      <c r="AK16" s="43" t="s">
        <v>186</v>
      </c>
      <c r="AL16" s="44">
        <f>AW64/AW9</f>
        <v>6.696800662322909E-2</v>
      </c>
      <c r="AU16">
        <v>14</v>
      </c>
      <c r="AV16" s="32" t="s">
        <v>125</v>
      </c>
      <c r="AW16">
        <f t="shared" si="2"/>
        <v>3357853</v>
      </c>
    </row>
    <row r="17" spans="3:49" ht="16.5">
      <c r="C17" s="110"/>
      <c r="D17" s="7" t="s">
        <v>27</v>
      </c>
      <c r="E17" s="18" t="s">
        <v>10</v>
      </c>
      <c r="F17" s="19">
        <f>F11-F15</f>
        <v>0</v>
      </c>
      <c r="G17" s="19">
        <f t="shared" ref="G17:O17" si="8">G11-G15</f>
        <v>0</v>
      </c>
      <c r="H17" s="19">
        <f t="shared" si="8"/>
        <v>0</v>
      </c>
      <c r="I17" s="19">
        <f t="shared" si="8"/>
        <v>0</v>
      </c>
      <c r="J17" s="19">
        <f t="shared" si="8"/>
        <v>179165117</v>
      </c>
      <c r="K17" s="19">
        <f t="shared" si="8"/>
        <v>299713755</v>
      </c>
      <c r="L17" s="19">
        <f t="shared" si="8"/>
        <v>113979471</v>
      </c>
      <c r="M17" s="19">
        <f t="shared" si="8"/>
        <v>0</v>
      </c>
      <c r="N17" s="19">
        <f t="shared" si="8"/>
        <v>0</v>
      </c>
      <c r="O17" s="19">
        <f t="shared" si="8"/>
        <v>0</v>
      </c>
      <c r="T17" s="1"/>
      <c r="AJ17" s="1"/>
      <c r="AK17" s="43" t="s">
        <v>187</v>
      </c>
      <c r="AL17" s="44">
        <f>AW33</f>
        <v>0.98253532316506109</v>
      </c>
      <c r="AU17">
        <v>15</v>
      </c>
      <c r="AV17" s="18" t="s">
        <v>17</v>
      </c>
      <c r="AW17">
        <f t="shared" si="2"/>
        <v>171591634</v>
      </c>
    </row>
    <row r="18" spans="3:49" ht="16.5">
      <c r="E18" s="18"/>
      <c r="F18" s="20"/>
      <c r="G18" s="20"/>
      <c r="H18" s="20"/>
      <c r="I18" s="20"/>
      <c r="J18" s="20"/>
      <c r="K18" s="20"/>
      <c r="L18" s="21"/>
      <c r="M18" s="21"/>
      <c r="N18" s="21"/>
      <c r="O18" s="21"/>
      <c r="T18" s="1"/>
      <c r="AJ18" s="1"/>
      <c r="AK18" s="43" t="s">
        <v>188</v>
      </c>
      <c r="AL18" s="44">
        <f>AW31</f>
        <v>0.63493087002976367</v>
      </c>
      <c r="AU18">
        <v>16</v>
      </c>
      <c r="AV18" s="32" t="s">
        <v>126</v>
      </c>
      <c r="AW18">
        <f t="shared" si="2"/>
        <v>37369</v>
      </c>
    </row>
    <row r="19" spans="3:49" ht="16.5" customHeight="1">
      <c r="C19" s="110" t="s">
        <v>11</v>
      </c>
      <c r="E19" s="32" t="s">
        <v>122</v>
      </c>
      <c r="F19" s="29"/>
      <c r="G19" s="29"/>
      <c r="H19" s="29"/>
      <c r="I19" s="29"/>
      <c r="J19" s="29">
        <v>160981566</v>
      </c>
      <c r="K19" s="29">
        <v>180480792</v>
      </c>
      <c r="L19" s="30"/>
      <c r="M19" s="30"/>
      <c r="N19" s="30"/>
      <c r="O19" s="30"/>
      <c r="T19" s="1"/>
      <c r="AJ19" s="1"/>
      <c r="AK19" s="43" t="s">
        <v>189</v>
      </c>
      <c r="AL19" s="44">
        <f>AW32</f>
        <v>0.34760445313529736</v>
      </c>
      <c r="AU19">
        <v>17</v>
      </c>
      <c r="AV19" s="21"/>
      <c r="AW19">
        <f t="shared" si="2"/>
        <v>0</v>
      </c>
    </row>
    <row r="20" spans="3:49" ht="16.5">
      <c r="C20" s="110"/>
      <c r="E20" s="32" t="s">
        <v>123</v>
      </c>
      <c r="F20" s="29"/>
      <c r="G20" s="29"/>
      <c r="H20" s="29"/>
      <c r="I20" s="29"/>
      <c r="J20" s="29">
        <v>18406593</v>
      </c>
      <c r="K20" s="29">
        <v>18748506</v>
      </c>
      <c r="L20" s="30"/>
      <c r="M20" s="30"/>
      <c r="N20" s="30"/>
      <c r="O20" s="30"/>
      <c r="T20" s="1"/>
      <c r="AJ20" s="1"/>
      <c r="AK20" s="43" t="s">
        <v>138</v>
      </c>
      <c r="AL20" s="44">
        <f>(AW63-AW62)/AW9</f>
        <v>-3.2831892705719503E-4</v>
      </c>
      <c r="AU20">
        <v>18</v>
      </c>
      <c r="AV20" s="32" t="s">
        <v>127</v>
      </c>
      <c r="AW20">
        <f t="shared" si="2"/>
        <v>186526</v>
      </c>
    </row>
    <row r="21" spans="3:49" ht="18.75">
      <c r="C21" s="110"/>
      <c r="E21" s="18" t="s">
        <v>14</v>
      </c>
      <c r="F21" s="19">
        <f>F19-F20</f>
        <v>0</v>
      </c>
      <c r="G21" s="19">
        <f t="shared" ref="G21:H21" si="9">G19-G20</f>
        <v>0</v>
      </c>
      <c r="H21" s="19">
        <f t="shared" si="9"/>
        <v>0</v>
      </c>
      <c r="I21" s="19">
        <f>I19-I20</f>
        <v>0</v>
      </c>
      <c r="J21" s="19">
        <f>J19-J20</f>
        <v>142574973</v>
      </c>
      <c r="K21" s="19">
        <f>K19-K20</f>
        <v>161732286</v>
      </c>
      <c r="L21" s="19">
        <f t="shared" ref="L21:O21" si="10">L19-L20</f>
        <v>0</v>
      </c>
      <c r="M21" s="19">
        <f t="shared" si="10"/>
        <v>0</v>
      </c>
      <c r="N21" s="19">
        <f t="shared" si="10"/>
        <v>0</v>
      </c>
      <c r="O21" s="19">
        <f t="shared" si="10"/>
        <v>0</v>
      </c>
      <c r="T21" s="1"/>
      <c r="U21" s="108" t="s">
        <v>161</v>
      </c>
      <c r="V21" s="108"/>
      <c r="W21" s="108"/>
      <c r="X21" s="108"/>
      <c r="Y21" s="108"/>
      <c r="AB21" s="108" t="s">
        <v>162</v>
      </c>
      <c r="AC21" s="108"/>
      <c r="AD21" s="108"/>
      <c r="AE21" s="108"/>
      <c r="AF21" s="108"/>
      <c r="AJ21" s="1"/>
      <c r="AU21">
        <v>19</v>
      </c>
      <c r="AV21" s="32" t="s">
        <v>128</v>
      </c>
      <c r="AW21">
        <f t="shared" si="2"/>
        <v>6636011</v>
      </c>
    </row>
    <row r="22" spans="3:49" ht="18">
      <c r="C22" s="110"/>
      <c r="E22" s="32" t="s">
        <v>124</v>
      </c>
      <c r="F22" s="29"/>
      <c r="G22" s="29"/>
      <c r="H22" s="29"/>
      <c r="I22" s="29"/>
      <c r="J22" s="29">
        <v>11691976</v>
      </c>
      <c r="K22" s="29">
        <v>13217201</v>
      </c>
      <c r="L22" s="30"/>
      <c r="M22" s="30"/>
      <c r="N22" s="30"/>
      <c r="O22" s="30"/>
      <c r="T22" s="1"/>
      <c r="AJ22" s="1"/>
      <c r="AM22" s="74"/>
      <c r="AN22" s="112" t="str">
        <f>B1&amp;" "&amp;AL4&amp;" ROE TREE"</f>
        <v>PICC 2016 ROE TREE</v>
      </c>
      <c r="AO22" s="112"/>
      <c r="AP22" s="112"/>
      <c r="AQ22" s="112"/>
      <c r="AR22" s="112"/>
      <c r="AS22" s="75"/>
      <c r="AU22">
        <v>20</v>
      </c>
      <c r="AV22" s="32" t="s">
        <v>129</v>
      </c>
      <c r="AW22">
        <f t="shared" si="2"/>
        <v>46964958</v>
      </c>
    </row>
    <row r="23" spans="3:49" ht="16.5">
      <c r="C23" s="110"/>
      <c r="E23" s="32" t="s">
        <v>125</v>
      </c>
      <c r="F23" s="29"/>
      <c r="G23" s="29"/>
      <c r="H23" s="29"/>
      <c r="I23" s="29"/>
      <c r="J23" s="29">
        <v>996117</v>
      </c>
      <c r="K23" s="29">
        <v>3357853</v>
      </c>
      <c r="L23" s="30"/>
      <c r="M23" s="30"/>
      <c r="N23" s="30"/>
      <c r="O23" s="30"/>
      <c r="T23" s="1"/>
      <c r="AJ23" s="1"/>
      <c r="AM23" s="76"/>
      <c r="AN23" s="50"/>
      <c r="AO23" s="54"/>
      <c r="AP23" s="54"/>
      <c r="AQ23" s="54"/>
      <c r="AR23" s="54"/>
      <c r="AS23" s="77"/>
      <c r="AU23">
        <v>21</v>
      </c>
      <c r="AV23" s="32" t="s">
        <v>130</v>
      </c>
      <c r="AW23">
        <f t="shared" si="2"/>
        <v>50393056</v>
      </c>
    </row>
    <row r="24" spans="3:49" ht="16.5">
      <c r="C24" s="110"/>
      <c r="E24" s="18" t="s">
        <v>17</v>
      </c>
      <c r="F24" s="19">
        <f>F21+F22-F23</f>
        <v>0</v>
      </c>
      <c r="G24" s="19">
        <f t="shared" ref="G24:I24" si="11">G21+G22-G23</f>
        <v>0</v>
      </c>
      <c r="H24" s="19">
        <f t="shared" si="11"/>
        <v>0</v>
      </c>
      <c r="I24" s="19">
        <f t="shared" si="11"/>
        <v>0</v>
      </c>
      <c r="J24" s="19">
        <f>J21+J22-J23</f>
        <v>153270832</v>
      </c>
      <c r="K24" s="19">
        <f>K21+K22-K23</f>
        <v>171591634</v>
      </c>
      <c r="L24" s="19">
        <f t="shared" ref="L24:O24" si="12">L21+L22-L23</f>
        <v>0</v>
      </c>
      <c r="M24" s="19">
        <f t="shared" si="12"/>
        <v>0</v>
      </c>
      <c r="N24" s="19">
        <f t="shared" si="12"/>
        <v>0</v>
      </c>
      <c r="O24" s="19">
        <f t="shared" si="12"/>
        <v>0</v>
      </c>
      <c r="T24" s="1"/>
      <c r="AJ24" s="1"/>
      <c r="AM24" s="76"/>
      <c r="AN24" s="54"/>
      <c r="AO24" s="54"/>
      <c r="AP24" s="54"/>
      <c r="AQ24" s="54"/>
      <c r="AR24" s="54"/>
      <c r="AS24" s="77"/>
      <c r="AU24">
        <v>22</v>
      </c>
      <c r="AV24" s="32" t="s">
        <v>131</v>
      </c>
      <c r="AW24">
        <f t="shared" si="2"/>
        <v>10239590</v>
      </c>
    </row>
    <row r="25" spans="3:49" ht="16.5">
      <c r="C25" s="26"/>
      <c r="E25" s="32" t="s">
        <v>126</v>
      </c>
      <c r="F25" s="29"/>
      <c r="G25" s="29"/>
      <c r="H25" s="29"/>
      <c r="I25" s="29"/>
      <c r="J25" s="29">
        <v>534789</v>
      </c>
      <c r="K25" s="29">
        <v>37369</v>
      </c>
      <c r="L25" s="30"/>
      <c r="M25" s="30"/>
      <c r="N25" s="30"/>
      <c r="O25" s="30"/>
      <c r="T25" s="1"/>
      <c r="AJ25" s="1"/>
      <c r="AM25" s="76"/>
      <c r="AN25" s="54"/>
      <c r="AO25" s="54"/>
      <c r="AP25" s="70" t="s">
        <v>56</v>
      </c>
      <c r="AQ25" s="54"/>
      <c r="AR25" s="54"/>
      <c r="AS25" s="77"/>
      <c r="AU25">
        <v>23</v>
      </c>
      <c r="AV25" s="18"/>
      <c r="AW25">
        <f t="shared" si="2"/>
        <v>0</v>
      </c>
    </row>
    <row r="26" spans="3:49">
      <c r="E26" s="21"/>
      <c r="F26" s="20"/>
      <c r="G26" s="20"/>
      <c r="H26" s="20"/>
      <c r="I26" s="20"/>
      <c r="J26" s="21"/>
      <c r="K26" s="20"/>
      <c r="L26" s="21"/>
      <c r="M26" s="21"/>
      <c r="N26" s="21"/>
      <c r="O26" s="21"/>
      <c r="T26" s="1"/>
      <c r="AJ26" s="1"/>
      <c r="AM26" s="76"/>
      <c r="AN26" s="54"/>
      <c r="AO26" s="54"/>
      <c r="AP26" s="71">
        <f>AL6</f>
        <v>0.15288630317560525</v>
      </c>
      <c r="AQ26" s="54"/>
      <c r="AR26" s="54"/>
      <c r="AS26" s="77"/>
      <c r="AU26">
        <v>24</v>
      </c>
      <c r="AV26" s="22" t="s">
        <v>28</v>
      </c>
      <c r="AW26">
        <f t="shared" si="2"/>
        <v>0.60217720738242397</v>
      </c>
    </row>
    <row r="27" spans="3:49" ht="16.5" customHeight="1">
      <c r="C27" s="110" t="s">
        <v>19</v>
      </c>
      <c r="E27" s="32" t="s">
        <v>127</v>
      </c>
      <c r="F27" s="29"/>
      <c r="G27" s="29"/>
      <c r="H27" s="29"/>
      <c r="I27" s="29"/>
      <c r="J27" s="29">
        <v>206866</v>
      </c>
      <c r="K27" s="29">
        <v>186526</v>
      </c>
      <c r="L27" s="30"/>
      <c r="M27" s="30"/>
      <c r="N27" s="30"/>
      <c r="O27" s="30"/>
      <c r="T27" s="1"/>
      <c r="AJ27" s="1"/>
      <c r="AM27" s="76"/>
      <c r="AN27" s="54"/>
      <c r="AO27" s="54"/>
      <c r="AP27" s="54"/>
      <c r="AQ27" s="54"/>
      <c r="AR27" s="54"/>
      <c r="AS27" s="77"/>
      <c r="AU27">
        <v>25</v>
      </c>
      <c r="AV27" s="22" t="s">
        <v>29</v>
      </c>
      <c r="AW27">
        <f t="shared" si="2"/>
        <v>0.6462766215050757</v>
      </c>
    </row>
    <row r="28" spans="3:49" ht="16.5">
      <c r="C28" s="110"/>
      <c r="E28" s="32" t="s">
        <v>128</v>
      </c>
      <c r="F28" s="29"/>
      <c r="G28" s="29"/>
      <c r="H28" s="29"/>
      <c r="I28" s="29"/>
      <c r="J28" s="29">
        <v>13682484</v>
      </c>
      <c r="K28" s="29">
        <v>6636011</v>
      </c>
      <c r="L28" s="30"/>
      <c r="M28" s="30"/>
      <c r="N28" s="30"/>
      <c r="O28" s="30"/>
      <c r="T28" s="1"/>
      <c r="AJ28" s="1"/>
      <c r="AM28" s="76"/>
      <c r="AN28" s="70" t="s">
        <v>190</v>
      </c>
      <c r="AO28" s="54"/>
      <c r="AP28" s="70" t="s">
        <v>178</v>
      </c>
      <c r="AQ28" s="54"/>
      <c r="AR28" s="54"/>
      <c r="AS28" s="77"/>
      <c r="AU28">
        <v>26</v>
      </c>
      <c r="AV28" s="22" t="s">
        <v>30</v>
      </c>
      <c r="AW28">
        <f t="shared" si="2"/>
        <v>0.34760016603175253</v>
      </c>
    </row>
    <row r="29" spans="3:49" ht="16.5">
      <c r="C29" s="110"/>
      <c r="E29" s="32" t="s">
        <v>228</v>
      </c>
      <c r="F29" s="29"/>
      <c r="G29" s="29"/>
      <c r="H29" s="29"/>
      <c r="I29" s="29"/>
      <c r="J29" s="29">
        <v>31663198</v>
      </c>
      <c r="K29" s="29">
        <v>46964958</v>
      </c>
      <c r="L29" s="30"/>
      <c r="M29" s="30"/>
      <c r="N29" s="30"/>
      <c r="O29" s="30"/>
      <c r="T29" s="1"/>
      <c r="AJ29" s="1"/>
      <c r="AM29" s="76"/>
      <c r="AN29" s="71">
        <f>AL8</f>
        <v>0.80241535936195052</v>
      </c>
      <c r="AO29" s="54"/>
      <c r="AP29" s="71">
        <f>AL7</f>
        <v>0.19053262302602791</v>
      </c>
      <c r="AQ29" s="54"/>
      <c r="AR29" s="54"/>
      <c r="AS29" s="77"/>
      <c r="AU29">
        <v>27</v>
      </c>
      <c r="AV29" s="22" t="s">
        <v>111</v>
      </c>
      <c r="AW29">
        <f t="shared" si="2"/>
        <v>0.99387678753682818</v>
      </c>
    </row>
    <row r="30" spans="3:49" ht="16.5">
      <c r="C30" s="110"/>
      <c r="E30" s="32" t="s">
        <v>130</v>
      </c>
      <c r="F30" s="29"/>
      <c r="G30" s="29"/>
      <c r="H30" s="29"/>
      <c r="I30" s="29"/>
      <c r="J30" s="29">
        <v>47061997</v>
      </c>
      <c r="K30" s="29">
        <v>50393056</v>
      </c>
      <c r="L30" s="30"/>
      <c r="M30" s="30"/>
      <c r="N30" s="30"/>
      <c r="O30" s="30"/>
      <c r="T30" s="1"/>
      <c r="AJ30" s="1"/>
      <c r="AM30" s="76"/>
      <c r="AN30" s="54"/>
      <c r="AO30" s="54"/>
      <c r="AP30" s="54"/>
      <c r="AQ30" s="54"/>
      <c r="AR30" s="54"/>
      <c r="AS30" s="77"/>
      <c r="AU30">
        <v>28</v>
      </c>
      <c r="AV30" s="22" t="s">
        <v>28</v>
      </c>
      <c r="AW30">
        <f t="shared" si="2"/>
        <v>0.59844887928442114</v>
      </c>
    </row>
    <row r="31" spans="3:49" ht="16.5">
      <c r="C31" s="110"/>
      <c r="E31" s="32" t="s">
        <v>131</v>
      </c>
      <c r="F31" s="29"/>
      <c r="G31" s="29"/>
      <c r="H31" s="29"/>
      <c r="I31" s="29"/>
      <c r="J31" s="29">
        <v>9909085</v>
      </c>
      <c r="K31" s="29">
        <v>10239590</v>
      </c>
      <c r="L31" s="30"/>
      <c r="M31" s="30"/>
      <c r="N31" s="30"/>
      <c r="O31" s="30"/>
      <c r="T31" s="1"/>
      <c r="AJ31" s="1"/>
      <c r="AM31" s="76"/>
      <c r="AN31" s="70" t="s">
        <v>191</v>
      </c>
      <c r="AO31" s="54"/>
      <c r="AP31" s="70" t="s">
        <v>192</v>
      </c>
      <c r="AQ31" s="50"/>
      <c r="AR31" s="70" t="s">
        <v>193</v>
      </c>
      <c r="AS31" s="77"/>
      <c r="AU31">
        <v>29</v>
      </c>
      <c r="AV31" s="22" t="s">
        <v>29</v>
      </c>
      <c r="AW31">
        <f t="shared" si="2"/>
        <v>0.63493087002976367</v>
      </c>
    </row>
    <row r="32" spans="3:49" ht="16.5">
      <c r="E32" s="18"/>
      <c r="F32" s="21"/>
      <c r="G32" s="21"/>
      <c r="H32" s="21"/>
      <c r="I32" s="21"/>
      <c r="J32" s="20"/>
      <c r="K32" s="21"/>
      <c r="L32" s="21"/>
      <c r="M32" s="21"/>
      <c r="N32" s="21"/>
      <c r="O32" s="21"/>
      <c r="T32" s="1"/>
      <c r="AJ32" s="1"/>
      <c r="AM32" s="76"/>
      <c r="AN32" s="72">
        <f>AL11</f>
        <v>0.19758464063804948</v>
      </c>
      <c r="AO32" s="54"/>
      <c r="AP32" s="71">
        <f>AL9</f>
        <v>0.19128216701802342</v>
      </c>
      <c r="AQ32" s="54"/>
      <c r="AR32" s="72">
        <f>AL10</f>
        <v>-7.4954399199549289E-4</v>
      </c>
      <c r="AS32" s="77"/>
      <c r="AU32">
        <v>30</v>
      </c>
      <c r="AV32" s="22" t="s">
        <v>30</v>
      </c>
      <c r="AW32">
        <f t="shared" si="2"/>
        <v>0.34760445313529736</v>
      </c>
    </row>
    <row r="33" spans="1:49" ht="14.25" customHeight="1">
      <c r="C33" s="111" t="s">
        <v>26</v>
      </c>
      <c r="D33" s="7" t="s">
        <v>27</v>
      </c>
      <c r="E33" s="22" t="s">
        <v>28</v>
      </c>
      <c r="F33" s="23" t="e">
        <f>F19/F17</f>
        <v>#DIV/0!</v>
      </c>
      <c r="G33" s="23" t="e">
        <f t="shared" ref="G33:O33" si="13">G19/G17</f>
        <v>#DIV/0!</v>
      </c>
      <c r="H33" s="23" t="e">
        <f t="shared" si="13"/>
        <v>#DIV/0!</v>
      </c>
      <c r="I33" s="23" t="e">
        <f t="shared" si="13"/>
        <v>#DIV/0!</v>
      </c>
      <c r="J33" s="23">
        <f t="shared" si="13"/>
        <v>0.89850953520154264</v>
      </c>
      <c r="K33" s="23">
        <f t="shared" si="13"/>
        <v>0.60217720738242397</v>
      </c>
      <c r="L33" s="23">
        <f t="shared" si="13"/>
        <v>0</v>
      </c>
      <c r="M33" s="23" t="e">
        <f t="shared" si="13"/>
        <v>#DIV/0!</v>
      </c>
      <c r="N33" s="23" t="e">
        <f t="shared" si="13"/>
        <v>#DIV/0!</v>
      </c>
      <c r="O33" s="23" t="e">
        <f t="shared" si="13"/>
        <v>#DIV/0!</v>
      </c>
      <c r="T33" s="1"/>
      <c r="AJ33" s="1"/>
      <c r="AM33" s="76"/>
      <c r="AN33" s="54"/>
      <c r="AO33" s="54"/>
      <c r="AP33" s="54"/>
      <c r="AQ33" s="54"/>
      <c r="AR33" s="54"/>
      <c r="AS33" s="77"/>
      <c r="AU33">
        <v>31</v>
      </c>
      <c r="AV33" s="22" t="s">
        <v>112</v>
      </c>
      <c r="AW33">
        <f t="shared" si="2"/>
        <v>0.98253532316506109</v>
      </c>
    </row>
    <row r="34" spans="1:49" ht="15">
      <c r="C34" s="111"/>
      <c r="E34" s="22" t="s">
        <v>29</v>
      </c>
      <c r="F34" s="23" t="e">
        <f>(F19+F22)/F17</f>
        <v>#DIV/0!</v>
      </c>
      <c r="G34" s="23" t="e">
        <f t="shared" ref="G34:O34" si="14">(G19+G22)/G17</f>
        <v>#DIV/0!</v>
      </c>
      <c r="H34" s="23" t="e">
        <f t="shared" si="14"/>
        <v>#DIV/0!</v>
      </c>
      <c r="I34" s="23" t="e">
        <f t="shared" si="14"/>
        <v>#DIV/0!</v>
      </c>
      <c r="J34" s="23">
        <f t="shared" si="14"/>
        <v>0.96376764010373739</v>
      </c>
      <c r="K34" s="23">
        <f t="shared" si="14"/>
        <v>0.6462766215050757</v>
      </c>
      <c r="L34" s="23">
        <f t="shared" si="14"/>
        <v>0</v>
      </c>
      <c r="M34" s="23" t="e">
        <f t="shared" si="14"/>
        <v>#DIV/0!</v>
      </c>
      <c r="N34" s="23" t="e">
        <f t="shared" si="14"/>
        <v>#DIV/0!</v>
      </c>
      <c r="O34" s="23" t="e">
        <f t="shared" si="14"/>
        <v>#DIV/0!</v>
      </c>
      <c r="T34" s="1"/>
      <c r="AJ34" s="1"/>
      <c r="AM34" s="76"/>
      <c r="AN34" s="54"/>
      <c r="AO34" s="54"/>
      <c r="AP34" s="70" t="s">
        <v>194</v>
      </c>
      <c r="AQ34" s="54"/>
      <c r="AR34" s="70" t="s">
        <v>195</v>
      </c>
      <c r="AS34" s="77"/>
      <c r="AU34">
        <v>32</v>
      </c>
      <c r="AV34" s="22" t="s">
        <v>33</v>
      </c>
      <c r="AW34">
        <f t="shared" si="2"/>
        <v>9.7655008038666821E-2</v>
      </c>
    </row>
    <row r="35" spans="1:49" ht="18" customHeight="1">
      <c r="C35" s="111"/>
      <c r="E35" s="22" t="s">
        <v>30</v>
      </c>
      <c r="F35" s="67" t="e">
        <f>SUM(F27:F30)/F17</f>
        <v>#DIV/0!</v>
      </c>
      <c r="G35" s="67" t="e">
        <f t="shared" ref="G35:O35" si="15">SUM(G27:G30)/G17</f>
        <v>#DIV/0!</v>
      </c>
      <c r="H35" s="67" t="e">
        <f t="shared" si="15"/>
        <v>#DIV/0!</v>
      </c>
      <c r="I35" s="67" t="e">
        <f t="shared" si="15"/>
        <v>#DIV/0!</v>
      </c>
      <c r="J35" s="67">
        <f t="shared" si="15"/>
        <v>0.51692286171978441</v>
      </c>
      <c r="K35" s="67">
        <f t="shared" si="15"/>
        <v>0.34760016603175253</v>
      </c>
      <c r="L35" s="67">
        <f t="shared" si="15"/>
        <v>0</v>
      </c>
      <c r="M35" s="67" t="e">
        <f t="shared" si="15"/>
        <v>#DIV/0!</v>
      </c>
      <c r="N35" s="67" t="e">
        <f t="shared" si="15"/>
        <v>#DIV/0!</v>
      </c>
      <c r="O35" s="67" t="e">
        <f t="shared" si="15"/>
        <v>#DIV/0!</v>
      </c>
      <c r="T35" s="1"/>
      <c r="AJ35" s="1"/>
      <c r="AM35" s="76"/>
      <c r="AN35" s="73" t="s">
        <v>196</v>
      </c>
      <c r="AO35" s="54"/>
      <c r="AP35" s="71">
        <f>AL12</f>
        <v>8.4104364531110809E-2</v>
      </c>
      <c r="AQ35" s="54"/>
      <c r="AR35" s="72">
        <f>AL13</f>
        <v>2.2829752725919397</v>
      </c>
      <c r="AS35" s="77"/>
      <c r="AU35">
        <v>33</v>
      </c>
      <c r="AV35" s="21"/>
      <c r="AW35">
        <f t="shared" si="2"/>
        <v>0</v>
      </c>
    </row>
    <row r="36" spans="1:49" ht="16.5">
      <c r="C36" s="111"/>
      <c r="E36" s="22" t="s">
        <v>111</v>
      </c>
      <c r="F36" s="24" t="e">
        <f>F34+F35</f>
        <v>#DIV/0!</v>
      </c>
      <c r="G36" s="24" t="e">
        <f t="shared" ref="G36:O36" si="16">G34+G35</f>
        <v>#DIV/0!</v>
      </c>
      <c r="H36" s="24" t="e">
        <f t="shared" si="16"/>
        <v>#DIV/0!</v>
      </c>
      <c r="I36" s="24" t="e">
        <f t="shared" si="16"/>
        <v>#DIV/0!</v>
      </c>
      <c r="J36" s="24">
        <f t="shared" si="16"/>
        <v>1.4806905018235219</v>
      </c>
      <c r="K36" s="24">
        <f t="shared" si="16"/>
        <v>0.99387678753682818</v>
      </c>
      <c r="L36" s="24">
        <f t="shared" si="16"/>
        <v>0</v>
      </c>
      <c r="M36" s="24" t="e">
        <f t="shared" si="16"/>
        <v>#DIV/0!</v>
      </c>
      <c r="N36" s="24" t="e">
        <f t="shared" si="16"/>
        <v>#DIV/0!</v>
      </c>
      <c r="O36" s="24" t="e">
        <f t="shared" si="16"/>
        <v>#DIV/0!</v>
      </c>
      <c r="T36" s="1"/>
      <c r="AJ36" s="1"/>
      <c r="AM36" s="76"/>
      <c r="AN36" s="54"/>
      <c r="AO36" s="54"/>
      <c r="AP36" s="54"/>
      <c r="AQ36" s="54"/>
      <c r="AR36" s="54"/>
      <c r="AS36" s="77"/>
      <c r="AU36">
        <v>34</v>
      </c>
      <c r="AV36" s="32" t="s">
        <v>132</v>
      </c>
      <c r="AW36">
        <f t="shared" si="2"/>
        <v>13793691</v>
      </c>
    </row>
    <row r="37" spans="1:49" ht="16.5">
      <c r="C37" s="111"/>
      <c r="D37" s="7" t="s">
        <v>32</v>
      </c>
      <c r="E37" s="22" t="s">
        <v>28</v>
      </c>
      <c r="F37" s="23" t="e">
        <f>F21/F16</f>
        <v>#DIV/0!</v>
      </c>
      <c r="G37" s="23" t="e">
        <f t="shared" ref="G37:O37" si="17">G21/G16</f>
        <v>#DIV/0!</v>
      </c>
      <c r="H37" s="23" t="e">
        <f t="shared" si="17"/>
        <v>#DIV/0!</v>
      </c>
      <c r="I37" s="23" t="e">
        <f t="shared" si="17"/>
        <v>#DIV/0!</v>
      </c>
      <c r="J37" s="23">
        <f t="shared" si="17"/>
        <v>0.58380291959496144</v>
      </c>
      <c r="K37" s="23">
        <f t="shared" si="17"/>
        <v>0.59844887928442114</v>
      </c>
      <c r="L37" s="23" t="e">
        <f t="shared" si="17"/>
        <v>#DIV/0!</v>
      </c>
      <c r="M37" s="23" t="e">
        <f t="shared" si="17"/>
        <v>#DIV/0!</v>
      </c>
      <c r="N37" s="23" t="e">
        <f t="shared" si="17"/>
        <v>#DIV/0!</v>
      </c>
      <c r="O37" s="23" t="e">
        <f t="shared" si="17"/>
        <v>#DIV/0!</v>
      </c>
      <c r="T37" s="1"/>
      <c r="AJ37" s="1"/>
      <c r="AM37" s="76"/>
      <c r="AN37" s="54"/>
      <c r="AO37" s="54"/>
      <c r="AP37" s="54"/>
      <c r="AQ37" s="54"/>
      <c r="AR37" s="70" t="s">
        <v>110</v>
      </c>
      <c r="AS37" s="77"/>
      <c r="AU37">
        <v>35</v>
      </c>
      <c r="AV37" s="32" t="s">
        <v>133</v>
      </c>
      <c r="AW37">
        <f t="shared" si="2"/>
        <v>3055</v>
      </c>
    </row>
    <row r="38" spans="1:49" ht="16.5">
      <c r="C38" s="111"/>
      <c r="E38" s="22" t="s">
        <v>29</v>
      </c>
      <c r="F38" s="23" t="e">
        <f>F24/F16</f>
        <v>#DIV/0!</v>
      </c>
      <c r="G38" s="23" t="e">
        <f t="shared" ref="G38:O38" si="18">G24/G16</f>
        <v>#DIV/0!</v>
      </c>
      <c r="H38" s="23" t="e">
        <f t="shared" si="18"/>
        <v>#DIV/0!</v>
      </c>
      <c r="I38" s="23" t="e">
        <f t="shared" si="18"/>
        <v>#DIV/0!</v>
      </c>
      <c r="J38" s="23">
        <f t="shared" si="18"/>
        <v>0.62759934178875032</v>
      </c>
      <c r="K38" s="23">
        <f t="shared" si="18"/>
        <v>0.63493087002976367</v>
      </c>
      <c r="L38" s="23" t="e">
        <f t="shared" si="18"/>
        <v>#DIV/0!</v>
      </c>
      <c r="M38" s="23" t="e">
        <f t="shared" si="18"/>
        <v>#DIV/0!</v>
      </c>
      <c r="N38" s="23" t="e">
        <f t="shared" si="18"/>
        <v>#DIV/0!</v>
      </c>
      <c r="O38" s="23" t="e">
        <f t="shared" si="18"/>
        <v>#DIV/0!</v>
      </c>
      <c r="T38" s="1"/>
      <c r="AJ38" s="1"/>
      <c r="AM38" s="76"/>
      <c r="AN38" s="54"/>
      <c r="AO38" s="54"/>
      <c r="AP38" s="54"/>
      <c r="AQ38" s="54"/>
      <c r="AR38" s="72">
        <f>AL14</f>
        <v>2.8691646087124281</v>
      </c>
      <c r="AS38" s="77"/>
      <c r="AU38">
        <v>36</v>
      </c>
      <c r="AV38" s="32" t="s">
        <v>134</v>
      </c>
      <c r="AW38">
        <f t="shared" si="2"/>
        <v>122237850</v>
      </c>
    </row>
    <row r="39" spans="1:49" ht="18.75">
      <c r="C39" s="111"/>
      <c r="E39" s="22" t="s">
        <v>30</v>
      </c>
      <c r="F39" s="23" t="e">
        <f>(SUM(F27:F30)-F31)/F16</f>
        <v>#DIV/0!</v>
      </c>
      <c r="G39" s="23" t="e">
        <f t="shared" ref="G39:O39" si="19">(SUM(G27:G30)-G31)/G16</f>
        <v>#DIV/0!</v>
      </c>
      <c r="H39" s="23" t="e">
        <f t="shared" si="19"/>
        <v>#DIV/0!</v>
      </c>
      <c r="I39" s="23" t="e">
        <f t="shared" si="19"/>
        <v>#DIV/0!</v>
      </c>
      <c r="J39" s="23">
        <f t="shared" si="19"/>
        <v>0.33865473019899711</v>
      </c>
      <c r="K39" s="23">
        <f t="shared" si="19"/>
        <v>0.34760445313529736</v>
      </c>
      <c r="L39" s="23" t="e">
        <f t="shared" si="19"/>
        <v>#DIV/0!</v>
      </c>
      <c r="M39" s="23" t="e">
        <f t="shared" si="19"/>
        <v>#DIV/0!</v>
      </c>
      <c r="N39" s="23" t="e">
        <f t="shared" si="19"/>
        <v>#DIV/0!</v>
      </c>
      <c r="O39" s="23" t="e">
        <f t="shared" si="19"/>
        <v>#DIV/0!</v>
      </c>
      <c r="T39" s="1"/>
      <c r="U39" s="108" t="s">
        <v>167</v>
      </c>
      <c r="V39" s="108"/>
      <c r="W39" s="108"/>
      <c r="X39" s="108"/>
      <c r="Y39" s="108"/>
      <c r="AB39" s="108" t="s">
        <v>168</v>
      </c>
      <c r="AC39" s="108"/>
      <c r="AD39" s="108"/>
      <c r="AE39" s="108"/>
      <c r="AF39" s="108"/>
      <c r="AJ39" s="1"/>
      <c r="AM39" s="76"/>
      <c r="AN39" s="54"/>
      <c r="AO39" s="54"/>
      <c r="AP39" s="54"/>
      <c r="AQ39" s="54"/>
      <c r="AR39" s="54"/>
      <c r="AS39" s="77"/>
      <c r="AU39">
        <v>37</v>
      </c>
      <c r="AV39" s="32" t="s">
        <v>135</v>
      </c>
      <c r="AW39">
        <f t="shared" si="2"/>
        <v>41651532</v>
      </c>
    </row>
    <row r="40" spans="1:49" ht="16.5">
      <c r="C40" s="111"/>
      <c r="E40" s="22" t="s">
        <v>112</v>
      </c>
      <c r="F40" s="24" t="e">
        <f>F38+F39</f>
        <v>#DIV/0!</v>
      </c>
      <c r="G40" s="24" t="e">
        <f t="shared" ref="G40:O40" si="20">G38+G39</f>
        <v>#DIV/0!</v>
      </c>
      <c r="H40" s="24" t="e">
        <f t="shared" si="20"/>
        <v>#DIV/0!</v>
      </c>
      <c r="I40" s="24" t="e">
        <f t="shared" si="20"/>
        <v>#DIV/0!</v>
      </c>
      <c r="J40" s="24">
        <f t="shared" si="20"/>
        <v>0.96625407198774749</v>
      </c>
      <c r="K40" s="24">
        <f t="shared" si="20"/>
        <v>0.98253532316506109</v>
      </c>
      <c r="L40" s="24" t="e">
        <f t="shared" si="20"/>
        <v>#DIV/0!</v>
      </c>
      <c r="M40" s="24" t="e">
        <f t="shared" si="20"/>
        <v>#DIV/0!</v>
      </c>
      <c r="N40" s="24" t="e">
        <f t="shared" si="20"/>
        <v>#DIV/0!</v>
      </c>
      <c r="O40" s="24" t="e">
        <f t="shared" si="20"/>
        <v>#DIV/0!</v>
      </c>
      <c r="T40" s="1"/>
      <c r="AJ40" s="1"/>
      <c r="AM40" s="76"/>
      <c r="AN40" s="70" t="s">
        <v>198</v>
      </c>
      <c r="AO40" s="54"/>
      <c r="AP40" s="70" t="s">
        <v>197</v>
      </c>
      <c r="AQ40" s="54"/>
      <c r="AR40" s="70" t="s">
        <v>138</v>
      </c>
      <c r="AS40" s="77"/>
      <c r="AU40">
        <v>38</v>
      </c>
      <c r="AV40" s="32" t="s">
        <v>136</v>
      </c>
      <c r="AW40">
        <f t="shared" si="2"/>
        <v>0</v>
      </c>
    </row>
    <row r="41" spans="1:49" ht="16.5">
      <c r="C41" s="111"/>
      <c r="E41" s="22" t="s">
        <v>33</v>
      </c>
      <c r="F41" s="23" t="e">
        <f>F12/F11</f>
        <v>#DIV/0!</v>
      </c>
      <c r="G41" s="23" t="e">
        <f t="shared" ref="G41:O41" si="21">G12/G11</f>
        <v>#DIV/0!</v>
      </c>
      <c r="H41" s="23" t="e">
        <f t="shared" si="21"/>
        <v>#DIV/0!</v>
      </c>
      <c r="I41" s="23" t="e">
        <f t="shared" si="21"/>
        <v>#DIV/0!</v>
      </c>
      <c r="J41" s="23">
        <f t="shared" si="21"/>
        <v>0.10496942760485313</v>
      </c>
      <c r="K41" s="23">
        <f t="shared" si="21"/>
        <v>9.7655008038666821E-2</v>
      </c>
      <c r="L41" s="23" t="e">
        <f t="shared" si="21"/>
        <v>#DIV/0!</v>
      </c>
      <c r="M41" s="23" t="e">
        <f t="shared" si="21"/>
        <v>#DIV/0!</v>
      </c>
      <c r="N41" s="23" t="e">
        <f t="shared" si="21"/>
        <v>#DIV/0!</v>
      </c>
      <c r="O41" s="23" t="e">
        <f t="shared" si="21"/>
        <v>#DIV/0!</v>
      </c>
      <c r="T41" s="1"/>
      <c r="AJ41" s="1"/>
      <c r="AM41" s="76"/>
      <c r="AN41" s="72">
        <f>AL16</f>
        <v>6.696800662322909E-2</v>
      </c>
      <c r="AO41" s="54"/>
      <c r="AP41" s="71">
        <f>AL15</f>
        <v>1.7464676834938908E-2</v>
      </c>
      <c r="AQ41" s="54"/>
      <c r="AR41" s="72">
        <f>AL20</f>
        <v>-3.2831892705719503E-4</v>
      </c>
      <c r="AS41" s="77"/>
      <c r="AU41">
        <v>39</v>
      </c>
      <c r="AV41" s="32" t="s">
        <v>137</v>
      </c>
      <c r="AW41">
        <f t="shared" si="2"/>
        <v>68286286</v>
      </c>
    </row>
    <row r="42" spans="1:49" ht="16.5"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T42" s="1"/>
      <c r="AJ42" s="1"/>
      <c r="AM42" s="76"/>
      <c r="AN42" s="54"/>
      <c r="AO42" s="54"/>
      <c r="AP42" s="54"/>
      <c r="AQ42" s="54"/>
      <c r="AR42" s="54"/>
      <c r="AS42" s="77"/>
      <c r="AU42">
        <v>40</v>
      </c>
      <c r="AV42" s="32" t="s">
        <v>143</v>
      </c>
      <c r="AW42">
        <f t="shared" si="2"/>
        <v>5061980</v>
      </c>
    </row>
    <row r="43" spans="1:49" ht="16.5" customHeight="1">
      <c r="A43" s="109" t="s">
        <v>34</v>
      </c>
      <c r="B43" s="109"/>
      <c r="C43" s="113" t="s">
        <v>35</v>
      </c>
      <c r="E43" s="32" t="s">
        <v>132</v>
      </c>
      <c r="F43" s="29"/>
      <c r="G43" s="29"/>
      <c r="H43" s="29"/>
      <c r="I43" s="29"/>
      <c r="J43" s="29">
        <v>15021048</v>
      </c>
      <c r="K43" s="29">
        <v>13793691</v>
      </c>
      <c r="L43" s="30"/>
      <c r="M43" s="30"/>
      <c r="N43" s="30"/>
      <c r="O43" s="30"/>
      <c r="T43" s="1"/>
      <c r="AJ43" s="1"/>
      <c r="AM43" s="76"/>
      <c r="AN43" s="54"/>
      <c r="AO43" s="54"/>
      <c r="AP43" s="70" t="s">
        <v>199</v>
      </c>
      <c r="AQ43" s="54"/>
      <c r="AR43" s="54"/>
      <c r="AS43" s="77"/>
      <c r="AU43">
        <v>41</v>
      </c>
      <c r="AV43" s="32" t="s">
        <v>139</v>
      </c>
      <c r="AW43">
        <f t="shared" si="2"/>
        <v>63854784</v>
      </c>
    </row>
    <row r="44" spans="1:49" ht="16.5">
      <c r="A44" s="109"/>
      <c r="B44" s="109"/>
      <c r="C44" s="113"/>
      <c r="E44" s="32" t="s">
        <v>133</v>
      </c>
      <c r="F44" s="29"/>
      <c r="G44" s="29"/>
      <c r="H44" s="30"/>
      <c r="I44" s="29"/>
      <c r="J44" s="29">
        <v>8159</v>
      </c>
      <c r="K44" s="29">
        <v>3055</v>
      </c>
      <c r="L44" s="30"/>
      <c r="M44" s="30"/>
      <c r="N44" s="30"/>
      <c r="O44" s="30"/>
      <c r="T44" s="1"/>
      <c r="AJ44" s="1"/>
      <c r="AM44" s="76"/>
      <c r="AN44" s="54"/>
      <c r="AO44" s="54"/>
      <c r="AP44" s="71">
        <f>AL17</f>
        <v>0.98253532316506109</v>
      </c>
      <c r="AQ44" s="54"/>
      <c r="AR44" s="54"/>
      <c r="AS44" s="77"/>
      <c r="AU44">
        <v>42</v>
      </c>
      <c r="AV44" s="32" t="s">
        <v>138</v>
      </c>
      <c r="AW44">
        <f t="shared" si="2"/>
        <v>0</v>
      </c>
    </row>
    <row r="45" spans="1:49" ht="16.5">
      <c r="C45" s="113"/>
      <c r="E45" s="32" t="s">
        <v>134</v>
      </c>
      <c r="F45" s="29"/>
      <c r="G45" s="29"/>
      <c r="H45" s="29"/>
      <c r="I45" s="29"/>
      <c r="J45" s="29">
        <v>118839125</v>
      </c>
      <c r="K45" s="29">
        <v>122237850</v>
      </c>
      <c r="L45" s="30"/>
      <c r="M45" s="30"/>
      <c r="N45" s="30"/>
      <c r="O45" s="30"/>
      <c r="T45" s="1"/>
      <c r="AJ45" s="1"/>
      <c r="AM45" s="76"/>
      <c r="AN45" s="54"/>
      <c r="AO45" s="54"/>
      <c r="AP45" s="50"/>
      <c r="AQ45" s="54"/>
      <c r="AR45" s="50"/>
      <c r="AS45" s="77"/>
      <c r="AU45">
        <v>43</v>
      </c>
      <c r="AV45" s="21"/>
      <c r="AW45">
        <f t="shared" si="2"/>
        <v>0</v>
      </c>
    </row>
    <row r="46" spans="1:49" ht="16.5">
      <c r="C46" s="113"/>
      <c r="E46" s="32" t="s">
        <v>135</v>
      </c>
      <c r="F46" s="29"/>
      <c r="G46" s="29"/>
      <c r="H46" s="29"/>
      <c r="I46" s="29"/>
      <c r="J46" s="29">
        <v>42258798</v>
      </c>
      <c r="K46" s="29">
        <v>41651532</v>
      </c>
      <c r="L46" s="30"/>
      <c r="M46" s="30"/>
      <c r="N46" s="30"/>
      <c r="O46" s="30"/>
      <c r="T46" s="1"/>
      <c r="AJ46" s="1"/>
      <c r="AM46" s="76"/>
      <c r="AN46" s="54"/>
      <c r="AO46" s="54"/>
      <c r="AP46" s="70" t="s">
        <v>200</v>
      </c>
      <c r="AQ46" s="54"/>
      <c r="AR46" s="70" t="s">
        <v>201</v>
      </c>
      <c r="AS46" s="77"/>
      <c r="AU46">
        <v>44</v>
      </c>
      <c r="AV46" s="32" t="s">
        <v>140</v>
      </c>
      <c r="AW46">
        <f t="shared" si="2"/>
        <v>12282804</v>
      </c>
    </row>
    <row r="47" spans="1:49" ht="16.5">
      <c r="C47" s="113"/>
      <c r="E47" s="32" t="s">
        <v>136</v>
      </c>
      <c r="F47" s="29"/>
      <c r="G47" s="29"/>
      <c r="H47" s="29"/>
      <c r="I47" s="29"/>
      <c r="J47" s="29">
        <v>0</v>
      </c>
      <c r="K47" s="29">
        <v>0</v>
      </c>
      <c r="L47" s="30"/>
      <c r="M47" s="30"/>
      <c r="N47" s="30"/>
      <c r="O47" s="30"/>
      <c r="T47" s="1"/>
      <c r="AJ47" s="1"/>
      <c r="AM47" s="76"/>
      <c r="AN47" s="54"/>
      <c r="AO47" s="54"/>
      <c r="AP47" s="72">
        <f>AL18</f>
        <v>0.63493087002976367</v>
      </c>
      <c r="AQ47" s="54"/>
      <c r="AR47" s="72">
        <f>AL19</f>
        <v>0.34760445313529736</v>
      </c>
      <c r="AS47" s="77"/>
      <c r="AU47">
        <v>45</v>
      </c>
      <c r="AV47" s="32" t="s">
        <v>141</v>
      </c>
      <c r="AW47">
        <f t="shared" si="2"/>
        <v>2465736</v>
      </c>
    </row>
    <row r="48" spans="1:49" ht="16.5">
      <c r="C48" s="113"/>
      <c r="E48" s="32" t="s">
        <v>137</v>
      </c>
      <c r="F48" s="29"/>
      <c r="G48" s="29"/>
      <c r="H48" s="29"/>
      <c r="I48" s="29"/>
      <c r="J48" s="29">
        <v>98663258</v>
      </c>
      <c r="K48" s="29">
        <v>68286286</v>
      </c>
      <c r="L48" s="30"/>
      <c r="M48" s="30"/>
      <c r="N48" s="30"/>
      <c r="O48" s="30"/>
      <c r="T48" s="1"/>
      <c r="AJ48" s="1"/>
      <c r="AM48" s="76"/>
      <c r="AN48" s="54"/>
      <c r="AO48" s="54"/>
      <c r="AP48" s="54"/>
      <c r="AQ48" s="54"/>
      <c r="AR48" s="54"/>
      <c r="AS48" s="77"/>
      <c r="AU48">
        <v>46</v>
      </c>
      <c r="AV48" s="18" t="s">
        <v>138</v>
      </c>
      <c r="AW48">
        <f t="shared" si="2"/>
        <v>4121536</v>
      </c>
    </row>
    <row r="49" spans="3:49" ht="16.5">
      <c r="C49" s="113"/>
      <c r="E49" s="32" t="s">
        <v>143</v>
      </c>
      <c r="F49" s="29"/>
      <c r="G49" s="29"/>
      <c r="H49" s="29"/>
      <c r="I49" s="29"/>
      <c r="J49" s="29">
        <v>4941910</v>
      </c>
      <c r="K49" s="29">
        <v>5061980</v>
      </c>
      <c r="L49" s="30"/>
      <c r="M49" s="30"/>
      <c r="N49" s="30"/>
      <c r="O49" s="30"/>
      <c r="T49" s="1"/>
      <c r="AJ49" s="1"/>
      <c r="AM49" s="78"/>
      <c r="AN49" s="79"/>
      <c r="AO49" s="79"/>
      <c r="AP49" s="79"/>
      <c r="AQ49" s="79"/>
      <c r="AR49" s="79"/>
      <c r="AS49" s="80"/>
      <c r="AU49">
        <v>47</v>
      </c>
      <c r="AV49" s="32" t="s">
        <v>43</v>
      </c>
      <c r="AW49">
        <f t="shared" si="2"/>
        <v>18870076</v>
      </c>
    </row>
    <row r="50" spans="3:49" ht="16.5">
      <c r="C50" s="113"/>
      <c r="E50" s="32" t="s">
        <v>139</v>
      </c>
      <c r="F50" s="29"/>
      <c r="G50" s="29"/>
      <c r="H50" s="29"/>
      <c r="I50" s="29"/>
      <c r="J50" s="29">
        <v>30051764</v>
      </c>
      <c r="K50" s="29">
        <v>63854784</v>
      </c>
      <c r="L50" s="30"/>
      <c r="M50" s="30"/>
      <c r="N50" s="30"/>
      <c r="O50" s="30"/>
      <c r="T50" s="1"/>
      <c r="AJ50" s="1"/>
      <c r="AU50">
        <v>48</v>
      </c>
      <c r="AV50" t="s">
        <v>142</v>
      </c>
      <c r="AW50">
        <f t="shared" si="2"/>
        <v>-154679</v>
      </c>
    </row>
    <row r="51" spans="3:49" ht="16.5">
      <c r="C51" s="113"/>
      <c r="E51" s="32" t="s">
        <v>138</v>
      </c>
      <c r="F51" s="29"/>
      <c r="G51" s="29"/>
      <c r="H51" s="31"/>
      <c r="I51" s="31"/>
      <c r="J51" s="29"/>
      <c r="K51" s="29"/>
      <c r="L51" s="30"/>
      <c r="M51" s="30"/>
      <c r="N51" s="30"/>
      <c r="O51" s="30"/>
      <c r="T51" s="1"/>
      <c r="AJ51" s="1"/>
      <c r="AU51">
        <v>49</v>
      </c>
      <c r="AW51">
        <f t="shared" si="2"/>
        <v>0</v>
      </c>
    </row>
    <row r="52" spans="3:49" ht="16.5" customHeight="1"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T52" s="1"/>
      <c r="AJ52" s="1"/>
      <c r="AU52">
        <v>50</v>
      </c>
      <c r="AV52" t="s">
        <v>146</v>
      </c>
      <c r="AW52">
        <f t="shared" si="2"/>
        <v>5.9926086122908929E-2</v>
      </c>
    </row>
    <row r="53" spans="3:49" ht="16.5" customHeight="1">
      <c r="C53" s="114" t="s">
        <v>43</v>
      </c>
      <c r="E53" s="32" t="s">
        <v>140</v>
      </c>
      <c r="F53" s="31"/>
      <c r="G53" s="31"/>
      <c r="H53" s="29"/>
      <c r="I53" s="29"/>
      <c r="J53" s="31">
        <v>12334787</v>
      </c>
      <c r="K53" s="29">
        <v>12282804</v>
      </c>
      <c r="L53" s="30"/>
      <c r="M53" s="30"/>
      <c r="N53" s="30"/>
      <c r="O53" s="30"/>
      <c r="T53" s="1"/>
      <c r="AJ53" s="1"/>
      <c r="AU53">
        <v>51</v>
      </c>
      <c r="AV53" t="s">
        <v>147</v>
      </c>
      <c r="AW53">
        <f t="shared" si="2"/>
        <v>5.9434868860434448E-2</v>
      </c>
    </row>
    <row r="54" spans="3:49" ht="16.5">
      <c r="C54" s="114"/>
      <c r="E54" s="32" t="s">
        <v>141</v>
      </c>
      <c r="F54" s="31"/>
      <c r="G54" s="31"/>
      <c r="H54" s="29"/>
      <c r="I54" s="29"/>
      <c r="J54" s="31">
        <v>1633938</v>
      </c>
      <c r="K54" s="29">
        <v>2465736</v>
      </c>
      <c r="L54" s="30"/>
      <c r="M54" s="30"/>
      <c r="N54" s="30"/>
      <c r="O54" s="30"/>
      <c r="T54" s="1"/>
      <c r="AJ54" s="1"/>
      <c r="AU54">
        <v>52</v>
      </c>
      <c r="AW54">
        <f t="shared" si="2"/>
        <v>0</v>
      </c>
    </row>
    <row r="55" spans="3:49" ht="16.5">
      <c r="C55" s="114"/>
      <c r="E55" s="18" t="s">
        <v>138</v>
      </c>
      <c r="F55" s="20">
        <f t="shared" ref="F55:O55" si="22">F56-SUM(F53:F54)</f>
        <v>0</v>
      </c>
      <c r="G55" s="20">
        <f t="shared" si="22"/>
        <v>0</v>
      </c>
      <c r="H55" s="20">
        <f t="shared" si="22"/>
        <v>0</v>
      </c>
      <c r="I55" s="20">
        <f t="shared" si="22"/>
        <v>0</v>
      </c>
      <c r="J55" s="20">
        <f t="shared" si="22"/>
        <v>6815669</v>
      </c>
      <c r="K55" s="20">
        <f t="shared" si="22"/>
        <v>4121536</v>
      </c>
      <c r="L55" s="20">
        <f t="shared" si="22"/>
        <v>0</v>
      </c>
      <c r="M55" s="20">
        <f t="shared" si="22"/>
        <v>0</v>
      </c>
      <c r="N55" s="20">
        <f t="shared" si="22"/>
        <v>0</v>
      </c>
      <c r="O55" s="20">
        <f t="shared" si="22"/>
        <v>0</v>
      </c>
      <c r="T55" s="1"/>
      <c r="AJ55" s="1"/>
      <c r="AU55">
        <v>53</v>
      </c>
      <c r="AW55">
        <f t="shared" si="2"/>
        <v>0</v>
      </c>
    </row>
    <row r="56" spans="3:49" ht="16.5">
      <c r="C56" s="114"/>
      <c r="E56" s="32" t="s">
        <v>43</v>
      </c>
      <c r="F56" s="28"/>
      <c r="G56" s="28"/>
      <c r="H56" s="28"/>
      <c r="I56" s="28"/>
      <c r="J56" s="28">
        <v>20784394</v>
      </c>
      <c r="K56" s="28">
        <v>18870076</v>
      </c>
      <c r="L56" s="28"/>
      <c r="M56" s="28"/>
      <c r="N56" s="28"/>
      <c r="O56" s="30"/>
      <c r="T56" s="1"/>
      <c r="AJ56" s="1"/>
      <c r="AU56">
        <v>54</v>
      </c>
      <c r="AW56">
        <f t="shared" si="2"/>
        <v>0</v>
      </c>
    </row>
    <row r="57" spans="3:49" ht="16.5">
      <c r="C57" s="114"/>
      <c r="E57" s="32" t="s">
        <v>142</v>
      </c>
      <c r="F57" s="28"/>
      <c r="G57" s="28"/>
      <c r="H57" s="28"/>
      <c r="I57" s="28"/>
      <c r="J57" s="28">
        <v>227188</v>
      </c>
      <c r="K57" s="28">
        <v>-154679</v>
      </c>
      <c r="L57" s="30"/>
      <c r="M57" s="30"/>
      <c r="N57" s="30"/>
      <c r="O57" s="30"/>
      <c r="T57" s="1"/>
      <c r="AJ57" s="1"/>
      <c r="AU57">
        <v>55</v>
      </c>
      <c r="AW57">
        <f t="shared" si="2"/>
        <v>0</v>
      </c>
    </row>
    <row r="58" spans="3:49" ht="14.25" customHeight="1"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1"/>
      <c r="T58" s="1"/>
      <c r="AJ58" s="1"/>
      <c r="AU58">
        <v>56</v>
      </c>
      <c r="AW58">
        <f>HLOOKUP($AW$3,$F$10:$O$129,AU58,FALSE)</f>
        <v>0</v>
      </c>
    </row>
    <row r="59" spans="3:49" ht="16.5">
      <c r="C59" s="111" t="s">
        <v>26</v>
      </c>
      <c r="E59" s="18" t="s">
        <v>146</v>
      </c>
      <c r="F59" s="23" t="e">
        <f>(F56)/(SUM(F43:F51))</f>
        <v>#DIV/0!</v>
      </c>
      <c r="G59" s="23" t="e">
        <f t="shared" ref="G59:O59" si="23">(G56)/(SUM(G43:G51))</f>
        <v>#DIV/0!</v>
      </c>
      <c r="H59" s="23" t="e">
        <f t="shared" si="23"/>
        <v>#DIV/0!</v>
      </c>
      <c r="I59" s="23" t="e">
        <f t="shared" si="23"/>
        <v>#DIV/0!</v>
      </c>
      <c r="J59" s="23">
        <f t="shared" si="23"/>
        <v>6.709316762719704E-2</v>
      </c>
      <c r="K59" s="23">
        <f t="shared" si="23"/>
        <v>5.9926086122908929E-2</v>
      </c>
      <c r="L59" s="23" t="e">
        <f t="shared" si="23"/>
        <v>#DIV/0!</v>
      </c>
      <c r="M59" s="23" t="e">
        <f t="shared" si="23"/>
        <v>#DIV/0!</v>
      </c>
      <c r="N59" s="23" t="e">
        <f t="shared" si="23"/>
        <v>#DIV/0!</v>
      </c>
      <c r="O59" s="23" t="e">
        <f t="shared" si="23"/>
        <v>#DIV/0!</v>
      </c>
      <c r="T59" s="1"/>
      <c r="AJ59" s="1"/>
      <c r="AU59">
        <v>57</v>
      </c>
      <c r="AV59" t="s">
        <v>148</v>
      </c>
      <c r="AW59">
        <f t="shared" si="2"/>
        <v>476054844</v>
      </c>
    </row>
    <row r="60" spans="3:49" ht="18.75">
      <c r="C60" s="111"/>
      <c r="E60" s="18" t="s">
        <v>147</v>
      </c>
      <c r="F60" s="23" t="e">
        <f>(F56+F57)/SUM(F43:F51)</f>
        <v>#DIV/0!</v>
      </c>
      <c r="G60" s="23" t="e">
        <f t="shared" ref="G60:O60" si="24">(G56+G57)/SUM(G43:G51)</f>
        <v>#DIV/0!</v>
      </c>
      <c r="H60" s="23" t="e">
        <f t="shared" si="24"/>
        <v>#DIV/0!</v>
      </c>
      <c r="I60" s="23" t="e">
        <f t="shared" si="24"/>
        <v>#DIV/0!</v>
      </c>
      <c r="J60" s="23">
        <f t="shared" si="24"/>
        <v>6.7826542993680544E-2</v>
      </c>
      <c r="K60" s="23">
        <f t="shared" si="24"/>
        <v>5.9434868860434448E-2</v>
      </c>
      <c r="L60" s="23" t="e">
        <f t="shared" si="24"/>
        <v>#DIV/0!</v>
      </c>
      <c r="M60" s="23" t="e">
        <f t="shared" si="24"/>
        <v>#DIV/0!</v>
      </c>
      <c r="N60" s="23" t="e">
        <f t="shared" si="24"/>
        <v>#DIV/0!</v>
      </c>
      <c r="O60" s="23" t="e">
        <f t="shared" si="24"/>
        <v>#DIV/0!</v>
      </c>
      <c r="T60" s="1"/>
      <c r="U60" s="108" t="s">
        <v>212</v>
      </c>
      <c r="V60" s="108"/>
      <c r="W60" s="108"/>
      <c r="X60" s="108"/>
      <c r="Y60" s="108"/>
      <c r="AB60" s="108" t="s">
        <v>169</v>
      </c>
      <c r="AC60" s="108"/>
      <c r="AD60" s="108"/>
      <c r="AE60" s="108"/>
      <c r="AF60" s="108"/>
      <c r="AJ60" s="1"/>
      <c r="AU60">
        <v>58</v>
      </c>
      <c r="AV60" t="s">
        <v>149</v>
      </c>
      <c r="AW60">
        <f t="shared" si="2"/>
        <v>357677536</v>
      </c>
    </row>
    <row r="61" spans="3:49">
      <c r="C61" s="11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T61" s="1"/>
      <c r="AJ61" s="1"/>
      <c r="AU61">
        <v>59</v>
      </c>
      <c r="AV61" t="s">
        <v>150</v>
      </c>
      <c r="AW61">
        <f t="shared" si="2"/>
        <v>118377308</v>
      </c>
    </row>
    <row r="62" spans="3:49">
      <c r="C62" s="11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T62" s="1"/>
      <c r="AJ62" s="1"/>
      <c r="AU62">
        <v>60</v>
      </c>
      <c r="AV62" t="s">
        <v>176</v>
      </c>
      <c r="AW62">
        <f t="shared" si="2"/>
        <v>22643468</v>
      </c>
    </row>
    <row r="63" spans="3:49">
      <c r="C63" s="11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T63" s="1"/>
      <c r="AJ63" s="1"/>
      <c r="AU63">
        <v>61</v>
      </c>
      <c r="AV63" t="s">
        <v>173</v>
      </c>
      <c r="AW63">
        <f t="shared" si="2"/>
        <v>22554739</v>
      </c>
    </row>
    <row r="64" spans="3:49">
      <c r="C64" s="11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T64" s="1"/>
      <c r="AJ64" s="1"/>
      <c r="AU64">
        <v>62</v>
      </c>
      <c r="AV64" t="s">
        <v>151</v>
      </c>
      <c r="AW64">
        <f t="shared" si="2"/>
        <v>18098269</v>
      </c>
    </row>
    <row r="65" spans="1:49" ht="16.5" customHeight="1">
      <c r="E65" s="18"/>
      <c r="F65" s="21"/>
      <c r="G65" s="21"/>
      <c r="H65" s="21"/>
      <c r="I65" s="21"/>
      <c r="J65" s="21"/>
      <c r="K65" s="21"/>
      <c r="L65" s="21"/>
      <c r="M65" s="21"/>
      <c r="N65" s="21"/>
      <c r="O65" s="21"/>
      <c r="T65" s="1"/>
      <c r="AJ65" s="1"/>
      <c r="AU65">
        <v>63</v>
      </c>
      <c r="AV65" t="s">
        <v>56</v>
      </c>
      <c r="AW65">
        <f t="shared" si="2"/>
        <v>0.15288630317560525</v>
      </c>
    </row>
    <row r="66" spans="1:49" ht="16.5" customHeight="1">
      <c r="A66" s="109" t="s">
        <v>50</v>
      </c>
      <c r="B66" s="109"/>
      <c r="C66" s="111" t="s">
        <v>51</v>
      </c>
      <c r="E66" s="32" t="s">
        <v>148</v>
      </c>
      <c r="F66" s="30"/>
      <c r="G66" s="30"/>
      <c r="H66" s="30"/>
      <c r="I66" s="30"/>
      <c r="J66" s="29">
        <v>420454932</v>
      </c>
      <c r="K66" s="29">
        <v>476054844</v>
      </c>
      <c r="L66" s="30"/>
      <c r="M66" s="30"/>
      <c r="N66" s="30"/>
      <c r="O66" s="30"/>
      <c r="T66" s="1"/>
      <c r="AJ66" s="1"/>
      <c r="AU66">
        <v>64</v>
      </c>
      <c r="AV66" t="s">
        <v>144</v>
      </c>
      <c r="AW66">
        <f t="shared" si="2"/>
        <v>0.75133682706524463</v>
      </c>
    </row>
    <row r="67" spans="1:49" ht="16.5">
      <c r="A67" s="109"/>
      <c r="B67" s="109"/>
      <c r="C67" s="111"/>
      <c r="E67" s="32" t="s">
        <v>149</v>
      </c>
      <c r="F67" s="30"/>
      <c r="G67" s="30"/>
      <c r="H67" s="30"/>
      <c r="I67" s="30"/>
      <c r="J67" s="29">
        <v>312515771</v>
      </c>
      <c r="K67" s="29">
        <v>357677536</v>
      </c>
      <c r="L67" s="30"/>
      <c r="M67" s="30"/>
      <c r="N67" s="30"/>
      <c r="O67" s="30"/>
      <c r="T67" s="1"/>
      <c r="AJ67" s="1"/>
      <c r="AU67">
        <v>65</v>
      </c>
      <c r="AV67" t="s">
        <v>145</v>
      </c>
      <c r="AW67">
        <f t="shared" si="2"/>
        <v>3.0215042227518807</v>
      </c>
    </row>
    <row r="68" spans="1:49" ht="16.5">
      <c r="C68" s="111"/>
      <c r="E68" s="32" t="s">
        <v>150</v>
      </c>
      <c r="F68" s="30"/>
      <c r="G68" s="30"/>
      <c r="H68" s="30"/>
      <c r="I68" s="30"/>
      <c r="J68" s="29">
        <v>107939161</v>
      </c>
      <c r="K68" s="29">
        <v>118377308</v>
      </c>
      <c r="L68" s="30"/>
      <c r="M68" s="30"/>
      <c r="N68" s="30"/>
      <c r="O68" s="30"/>
      <c r="T68" s="1"/>
      <c r="AJ68" s="1"/>
      <c r="AU68">
        <v>66</v>
      </c>
      <c r="AW68">
        <f t="shared" si="2"/>
        <v>0</v>
      </c>
    </row>
    <row r="69" spans="1:49" ht="16.5">
      <c r="C69" s="111"/>
      <c r="E69" s="32" t="s">
        <v>211</v>
      </c>
      <c r="F69" s="30"/>
      <c r="G69" s="30"/>
      <c r="H69" s="30"/>
      <c r="I69" s="30"/>
      <c r="J69" s="29">
        <v>27242888</v>
      </c>
      <c r="K69" s="29">
        <v>22643468</v>
      </c>
      <c r="L69" s="30"/>
      <c r="M69" s="30"/>
      <c r="N69" s="30"/>
      <c r="O69" s="30"/>
      <c r="T69" s="1"/>
      <c r="AJ69" s="1"/>
      <c r="AU69">
        <v>67</v>
      </c>
      <c r="AV69" t="s">
        <v>152</v>
      </c>
      <c r="AW69">
        <f t="shared" ref="AW69:AW121" si="25">HLOOKUP($AW$3,$F$10:$O$129,AU69,FALSE)</f>
        <v>225639589</v>
      </c>
    </row>
    <row r="70" spans="1:49" ht="16.5">
      <c r="C70" s="111"/>
      <c r="E70" s="32" t="s">
        <v>210</v>
      </c>
      <c r="F70" s="30"/>
      <c r="G70" s="30"/>
      <c r="H70" s="30"/>
      <c r="I70" s="30"/>
      <c r="J70" s="29">
        <v>27474131</v>
      </c>
      <c r="K70" s="29">
        <v>22554739</v>
      </c>
      <c r="L70" s="30"/>
      <c r="M70" s="30"/>
      <c r="N70" s="30"/>
      <c r="O70" s="30"/>
      <c r="T70" s="1"/>
      <c r="AJ70" s="1"/>
      <c r="AU70">
        <v>68</v>
      </c>
      <c r="AV70" t="s">
        <v>153</v>
      </c>
      <c r="AW70">
        <f t="shared" si="25"/>
        <v>12010551</v>
      </c>
    </row>
    <row r="71" spans="1:49" ht="16.5">
      <c r="C71" s="111"/>
      <c r="E71" s="32" t="s">
        <v>209</v>
      </c>
      <c r="F71" s="30"/>
      <c r="G71" s="30"/>
      <c r="H71" s="30"/>
      <c r="I71" s="30"/>
      <c r="J71" s="29">
        <v>21300311</v>
      </c>
      <c r="K71" s="29">
        <v>18098269</v>
      </c>
      <c r="L71" s="30"/>
      <c r="M71" s="30"/>
      <c r="N71" s="30"/>
      <c r="O71" s="30"/>
      <c r="T71" s="1"/>
      <c r="AJ71" s="1"/>
      <c r="AU71">
        <v>69</v>
      </c>
      <c r="AV71" t="s">
        <v>154</v>
      </c>
      <c r="AW71">
        <f t="shared" si="25"/>
        <v>13700752</v>
      </c>
    </row>
    <row r="72" spans="1:49">
      <c r="C72" s="111"/>
      <c r="E72" s="24" t="s">
        <v>56</v>
      </c>
      <c r="F72" s="22" t="e">
        <f>F71/F68</f>
        <v>#DIV/0!</v>
      </c>
      <c r="G72" s="22" t="e">
        <f t="shared" ref="G72:O72" si="26">G71/G68</f>
        <v>#DIV/0!</v>
      </c>
      <c r="H72" s="22" t="e">
        <f t="shared" si="26"/>
        <v>#DIV/0!</v>
      </c>
      <c r="I72" s="22" t="e">
        <f t="shared" si="26"/>
        <v>#DIV/0!</v>
      </c>
      <c r="J72" s="22">
        <f t="shared" si="26"/>
        <v>0.19733626612124583</v>
      </c>
      <c r="K72" s="22">
        <f t="shared" si="26"/>
        <v>0.15288630317560525</v>
      </c>
      <c r="L72" s="22" t="e">
        <f t="shared" si="26"/>
        <v>#DIV/0!</v>
      </c>
      <c r="M72" s="22" t="e">
        <f t="shared" si="26"/>
        <v>#DIV/0!</v>
      </c>
      <c r="N72" s="22" t="e">
        <f t="shared" si="26"/>
        <v>#DIV/0!</v>
      </c>
      <c r="O72" s="22" t="e">
        <f t="shared" si="26"/>
        <v>#DIV/0!</v>
      </c>
      <c r="T72" s="1"/>
      <c r="AJ72" s="1"/>
      <c r="AU72">
        <v>70</v>
      </c>
      <c r="AV72" t="s">
        <v>155</v>
      </c>
      <c r="AW72">
        <f t="shared" si="25"/>
        <v>2972465</v>
      </c>
    </row>
    <row r="73" spans="1:49">
      <c r="C73" s="111"/>
      <c r="E73" s="24" t="s">
        <v>144</v>
      </c>
      <c r="F73" s="22" t="e">
        <f>F67/F66</f>
        <v>#DIV/0!</v>
      </c>
      <c r="G73" s="22" t="e">
        <f t="shared" ref="G73:O73" si="27">G67/G66</f>
        <v>#DIV/0!</v>
      </c>
      <c r="H73" s="22" t="e">
        <f t="shared" si="27"/>
        <v>#DIV/0!</v>
      </c>
      <c r="I73" s="22" t="e">
        <f t="shared" si="27"/>
        <v>#DIV/0!</v>
      </c>
      <c r="J73" s="22">
        <f t="shared" si="27"/>
        <v>0.74328006931311252</v>
      </c>
      <c r="K73" s="22">
        <f t="shared" si="27"/>
        <v>0.75133682706524463</v>
      </c>
      <c r="L73" s="22" t="e">
        <f t="shared" si="27"/>
        <v>#DIV/0!</v>
      </c>
      <c r="M73" s="22" t="e">
        <f t="shared" si="27"/>
        <v>#DIV/0!</v>
      </c>
      <c r="N73" s="22" t="e">
        <f t="shared" si="27"/>
        <v>#DIV/0!</v>
      </c>
      <c r="O73" s="22" t="e">
        <f t="shared" si="27"/>
        <v>#DIV/0!</v>
      </c>
      <c r="T73" s="1"/>
      <c r="AJ73" s="1"/>
      <c r="AU73">
        <v>71</v>
      </c>
      <c r="AV73" t="s">
        <v>156</v>
      </c>
      <c r="AW73">
        <f t="shared" si="25"/>
        <v>23430443</v>
      </c>
    </row>
    <row r="74" spans="1:49">
      <c r="C74" s="111"/>
      <c r="E74" s="24" t="s">
        <v>145</v>
      </c>
      <c r="F74" s="22" t="e">
        <f>F67/F68</f>
        <v>#DIV/0!</v>
      </c>
      <c r="G74" s="22" t="e">
        <f t="shared" ref="G74:O74" si="28">G67/G68</f>
        <v>#DIV/0!</v>
      </c>
      <c r="H74" s="22" t="e">
        <f t="shared" si="28"/>
        <v>#DIV/0!</v>
      </c>
      <c r="I74" s="22" t="e">
        <f t="shared" si="28"/>
        <v>#DIV/0!</v>
      </c>
      <c r="J74" s="22">
        <f t="shared" si="28"/>
        <v>2.8952955359732693</v>
      </c>
      <c r="K74" s="22">
        <f t="shared" si="28"/>
        <v>3.0215042227518807</v>
      </c>
      <c r="L74" s="22" t="e">
        <f t="shared" si="28"/>
        <v>#DIV/0!</v>
      </c>
      <c r="M74" s="22" t="e">
        <f t="shared" si="28"/>
        <v>#DIV/0!</v>
      </c>
      <c r="N74" s="22" t="e">
        <f t="shared" si="28"/>
        <v>#DIV/0!</v>
      </c>
      <c r="O74" s="22" t="e">
        <f t="shared" si="28"/>
        <v>#DIV/0!</v>
      </c>
      <c r="T74" s="1"/>
      <c r="AJ74" s="1"/>
      <c r="AU74">
        <v>72</v>
      </c>
      <c r="AV74" t="s">
        <v>157</v>
      </c>
      <c r="AW74">
        <f t="shared" si="25"/>
        <v>19361283</v>
      </c>
    </row>
    <row r="75" spans="1:49" ht="16.5" customHeight="1"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1"/>
      <c r="T75" s="1"/>
      <c r="AJ75" s="1"/>
      <c r="AU75">
        <v>73</v>
      </c>
      <c r="AV75" t="s">
        <v>165</v>
      </c>
      <c r="AW75">
        <f t="shared" si="25"/>
        <v>0</v>
      </c>
    </row>
    <row r="76" spans="1:49" ht="16.5" customHeight="1">
      <c r="A76" s="109" t="s">
        <v>57</v>
      </c>
      <c r="B76" s="109"/>
      <c r="C76" s="110" t="s">
        <v>58</v>
      </c>
      <c r="E76" s="32" t="s">
        <v>152</v>
      </c>
      <c r="F76" s="29"/>
      <c r="G76" s="29"/>
      <c r="H76" s="30"/>
      <c r="I76" s="30"/>
      <c r="J76" s="29"/>
      <c r="K76" s="29">
        <v>225639589</v>
      </c>
      <c r="L76" s="30"/>
      <c r="M76" s="30"/>
      <c r="N76" s="30"/>
      <c r="O76" s="30"/>
      <c r="T76" s="1"/>
      <c r="AJ76" s="1"/>
      <c r="AU76">
        <v>74</v>
      </c>
      <c r="AV76" t="s">
        <v>138</v>
      </c>
      <c r="AW76">
        <f t="shared" si="25"/>
        <v>0</v>
      </c>
    </row>
    <row r="77" spans="1:49" ht="16.5">
      <c r="A77" s="109"/>
      <c r="B77" s="109"/>
      <c r="C77" s="110"/>
      <c r="E77" s="32" t="s">
        <v>153</v>
      </c>
      <c r="F77" s="29"/>
      <c r="G77" s="29"/>
      <c r="H77" s="30"/>
      <c r="I77" s="30"/>
      <c r="J77" s="29"/>
      <c r="K77" s="29">
        <v>12010551</v>
      </c>
      <c r="L77" s="30"/>
      <c r="M77" s="30"/>
      <c r="N77" s="30"/>
      <c r="O77" s="30"/>
      <c r="T77" s="1"/>
      <c r="AJ77" s="1"/>
      <c r="AU77">
        <v>75</v>
      </c>
      <c r="AW77">
        <f t="shared" si="25"/>
        <v>0</v>
      </c>
    </row>
    <row r="78" spans="1:49" ht="18.75">
      <c r="C78" s="110"/>
      <c r="E78" s="32" t="s">
        <v>154</v>
      </c>
      <c r="F78" s="29"/>
      <c r="G78" s="29"/>
      <c r="H78" s="30"/>
      <c r="I78" s="30"/>
      <c r="J78" s="29"/>
      <c r="K78" s="29">
        <v>13700752</v>
      </c>
      <c r="L78" s="30"/>
      <c r="M78" s="30"/>
      <c r="N78" s="30"/>
      <c r="O78" s="30"/>
      <c r="T78" s="1"/>
      <c r="U78" s="108" t="s">
        <v>170</v>
      </c>
      <c r="V78" s="108"/>
      <c r="W78" s="108"/>
      <c r="X78" s="108"/>
      <c r="Y78" s="108"/>
      <c r="AJ78" s="1"/>
      <c r="AU78">
        <v>76</v>
      </c>
      <c r="AV78" t="s">
        <v>152</v>
      </c>
      <c r="AW78">
        <f t="shared" si="25"/>
        <v>123908151</v>
      </c>
    </row>
    <row r="79" spans="1:49" ht="16.5">
      <c r="C79" s="110"/>
      <c r="E79" s="32" t="s">
        <v>155</v>
      </c>
      <c r="F79" s="29"/>
      <c r="G79" s="29"/>
      <c r="H79" s="30"/>
      <c r="I79" s="30"/>
      <c r="J79" s="29"/>
      <c r="K79" s="29">
        <v>2972465</v>
      </c>
      <c r="L79" s="30"/>
      <c r="M79" s="30"/>
      <c r="N79" s="30"/>
      <c r="O79" s="30"/>
      <c r="T79" s="1"/>
      <c r="AJ79" s="1"/>
      <c r="AU79">
        <v>77</v>
      </c>
      <c r="AV79" t="s">
        <v>153</v>
      </c>
      <c r="AW79">
        <f t="shared" si="25"/>
        <v>9257061</v>
      </c>
    </row>
    <row r="80" spans="1:49" ht="16.5">
      <c r="C80" s="110"/>
      <c r="E80" s="32" t="s">
        <v>156</v>
      </c>
      <c r="F80" s="29"/>
      <c r="G80" s="29"/>
      <c r="H80" s="30"/>
      <c r="I80" s="30"/>
      <c r="J80" s="29"/>
      <c r="K80" s="29">
        <v>23430443</v>
      </c>
      <c r="L80" s="30"/>
      <c r="M80" s="30"/>
      <c r="N80" s="30"/>
      <c r="O80" s="30"/>
      <c r="T80" s="1"/>
      <c r="AJ80" s="1"/>
      <c r="AU80">
        <v>78</v>
      </c>
      <c r="AV80" t="s">
        <v>154</v>
      </c>
      <c r="AW80">
        <f t="shared" si="25"/>
        <v>6440101</v>
      </c>
    </row>
    <row r="81" spans="3:49" ht="16.5">
      <c r="C81" s="110"/>
      <c r="E81" s="32" t="s">
        <v>157</v>
      </c>
      <c r="F81" s="29"/>
      <c r="G81" s="29"/>
      <c r="H81" s="30"/>
      <c r="I81" s="30"/>
      <c r="J81" s="29"/>
      <c r="K81" s="29">
        <v>19361283</v>
      </c>
      <c r="L81" s="30"/>
      <c r="M81" s="30"/>
      <c r="N81" s="30"/>
      <c r="O81" s="30"/>
      <c r="T81" s="1"/>
      <c r="AJ81" s="1"/>
      <c r="AU81">
        <v>79</v>
      </c>
      <c r="AV81" t="s">
        <v>155</v>
      </c>
      <c r="AW81">
        <f t="shared" si="25"/>
        <v>1514985</v>
      </c>
    </row>
    <row r="82" spans="3:49" ht="16.5">
      <c r="C82" s="26"/>
      <c r="E82" s="32" t="s">
        <v>165</v>
      </c>
      <c r="F82" s="29"/>
      <c r="G82" s="29"/>
      <c r="H82" s="30"/>
      <c r="I82" s="30"/>
      <c r="J82" s="29"/>
      <c r="K82" s="30"/>
      <c r="L82" s="30"/>
      <c r="M82" s="30"/>
      <c r="N82" s="30"/>
      <c r="O82" s="30"/>
      <c r="T82" s="1"/>
      <c r="AJ82" s="1"/>
      <c r="AU82">
        <v>80</v>
      </c>
      <c r="AV82" t="s">
        <v>156</v>
      </c>
      <c r="AW82">
        <f t="shared" si="25"/>
        <v>17721558</v>
      </c>
    </row>
    <row r="83" spans="3:49" ht="16.5" customHeight="1">
      <c r="C83" s="26"/>
      <c r="E83" s="32" t="s">
        <v>138</v>
      </c>
      <c r="F83" s="29"/>
      <c r="G83" s="29"/>
      <c r="H83" s="30"/>
      <c r="I83" s="30"/>
      <c r="J83" s="29"/>
      <c r="K83" s="30"/>
      <c r="L83" s="30"/>
      <c r="M83" s="30"/>
      <c r="N83" s="30"/>
      <c r="O83" s="30"/>
      <c r="T83" s="1"/>
      <c r="AJ83" s="1"/>
      <c r="AU83">
        <v>81</v>
      </c>
      <c r="AV83" t="s">
        <v>157</v>
      </c>
      <c r="AW83">
        <f t="shared" si="25"/>
        <v>14080519</v>
      </c>
    </row>
    <row r="84" spans="3:49" ht="16.5" customHeight="1">
      <c r="E84" s="18"/>
      <c r="F84" s="20"/>
      <c r="G84" s="20"/>
      <c r="H84" s="21"/>
      <c r="I84" s="21"/>
      <c r="J84" s="20"/>
      <c r="K84" s="21"/>
      <c r="L84" s="21"/>
      <c r="M84" s="21"/>
      <c r="N84" s="21"/>
      <c r="O84" s="21"/>
      <c r="T84" s="1"/>
      <c r="AJ84" s="1"/>
      <c r="AU84">
        <v>82</v>
      </c>
      <c r="AV84" t="s">
        <v>165</v>
      </c>
      <c r="AW84">
        <f t="shared" si="25"/>
        <v>0</v>
      </c>
    </row>
    <row r="85" spans="3:49" ht="16.5" customHeight="1">
      <c r="C85" s="110" t="s">
        <v>64</v>
      </c>
      <c r="E85" s="32" t="s">
        <v>152</v>
      </c>
      <c r="F85" s="29"/>
      <c r="G85" s="29"/>
      <c r="H85" s="30"/>
      <c r="I85" s="30"/>
      <c r="J85" s="29"/>
      <c r="K85" s="29">
        <v>123908151</v>
      </c>
      <c r="L85" s="30"/>
      <c r="M85" s="30"/>
      <c r="N85" s="30"/>
      <c r="O85" s="30"/>
      <c r="T85" s="1"/>
      <c r="AJ85" s="1"/>
      <c r="AU85">
        <v>83</v>
      </c>
      <c r="AV85" t="s">
        <v>138</v>
      </c>
      <c r="AW85">
        <f t="shared" si="25"/>
        <v>0</v>
      </c>
    </row>
    <row r="86" spans="3:49" ht="16.5">
      <c r="C86" s="110"/>
      <c r="E86" s="32" t="s">
        <v>153</v>
      </c>
      <c r="F86" s="29"/>
      <c r="G86" s="29"/>
      <c r="H86" s="30"/>
      <c r="I86" s="30"/>
      <c r="J86" s="29"/>
      <c r="K86" s="29">
        <v>9257061</v>
      </c>
      <c r="L86" s="30"/>
      <c r="M86" s="30"/>
      <c r="N86" s="30"/>
      <c r="O86" s="30"/>
      <c r="T86" s="1"/>
      <c r="AJ86" s="1"/>
      <c r="AU86">
        <v>84</v>
      </c>
      <c r="AW86">
        <f t="shared" si="25"/>
        <v>0</v>
      </c>
    </row>
    <row r="87" spans="3:49" ht="16.5">
      <c r="C87" s="110"/>
      <c r="E87" s="32" t="s">
        <v>154</v>
      </c>
      <c r="F87" s="29"/>
      <c r="G87" s="29"/>
      <c r="H87" s="30"/>
      <c r="I87" s="30"/>
      <c r="J87" s="29"/>
      <c r="K87" s="29">
        <v>6440101</v>
      </c>
      <c r="L87" s="30"/>
      <c r="M87" s="30"/>
      <c r="N87" s="30"/>
      <c r="O87" s="30"/>
      <c r="T87" s="1"/>
      <c r="AJ87" s="1"/>
      <c r="AU87">
        <v>85</v>
      </c>
      <c r="AV87" t="s">
        <v>152</v>
      </c>
      <c r="AW87">
        <f t="shared" si="25"/>
        <v>13545918</v>
      </c>
    </row>
    <row r="88" spans="3:49" ht="16.5">
      <c r="C88" s="110"/>
      <c r="E88" s="32" t="s">
        <v>155</v>
      </c>
      <c r="F88" s="29"/>
      <c r="G88" s="29"/>
      <c r="H88" s="30"/>
      <c r="I88" s="30"/>
      <c r="J88" s="29"/>
      <c r="K88" s="29">
        <v>1514985</v>
      </c>
      <c r="L88" s="30"/>
      <c r="M88" s="30"/>
      <c r="N88" s="30"/>
      <c r="O88" s="30"/>
      <c r="T88" s="1"/>
      <c r="AJ88" s="1"/>
      <c r="AU88">
        <v>86</v>
      </c>
      <c r="AV88" t="s">
        <v>153</v>
      </c>
      <c r="AW88">
        <f t="shared" si="25"/>
        <v>674013</v>
      </c>
    </row>
    <row r="89" spans="3:49" ht="16.5">
      <c r="C89" s="110"/>
      <c r="E89" s="32" t="s">
        <v>156</v>
      </c>
      <c r="F89" s="29"/>
      <c r="G89" s="29"/>
      <c r="H89" s="30"/>
      <c r="I89" s="30"/>
      <c r="J89" s="29"/>
      <c r="K89" s="29">
        <v>17721558</v>
      </c>
      <c r="L89" s="30"/>
      <c r="M89" s="30"/>
      <c r="N89" s="30"/>
      <c r="O89" s="30"/>
      <c r="T89" s="1"/>
      <c r="AJ89" s="1"/>
      <c r="AU89">
        <v>87</v>
      </c>
      <c r="AV89" t="s">
        <v>154</v>
      </c>
      <c r="AW89">
        <f t="shared" si="25"/>
        <v>1384406</v>
      </c>
    </row>
    <row r="90" spans="3:49" ht="16.5" customHeight="1">
      <c r="C90" s="110"/>
      <c r="E90" s="32" t="s">
        <v>157</v>
      </c>
      <c r="F90" s="29"/>
      <c r="G90" s="29"/>
      <c r="H90" s="30"/>
      <c r="I90" s="30"/>
      <c r="J90" s="29"/>
      <c r="K90" s="29">
        <v>14080519</v>
      </c>
      <c r="L90" s="30"/>
      <c r="M90" s="30"/>
      <c r="N90" s="30"/>
      <c r="O90" s="30"/>
      <c r="T90" s="1"/>
      <c r="AJ90" s="1"/>
      <c r="AU90">
        <v>88</v>
      </c>
      <c r="AV90" t="s">
        <v>155</v>
      </c>
      <c r="AW90">
        <f t="shared" si="25"/>
        <v>95150</v>
      </c>
    </row>
    <row r="91" spans="3:49" ht="16.5" customHeight="1">
      <c r="C91" s="26"/>
      <c r="E91" s="32" t="s">
        <v>165</v>
      </c>
      <c r="F91" s="29"/>
      <c r="G91" s="29"/>
      <c r="H91" s="30"/>
      <c r="I91" s="30"/>
      <c r="J91" s="29"/>
      <c r="K91" s="30"/>
      <c r="L91" s="30"/>
      <c r="M91" s="30"/>
      <c r="N91" s="30"/>
      <c r="O91" s="30"/>
      <c r="T91" s="1"/>
      <c r="AJ91" s="1"/>
      <c r="AU91">
        <v>89</v>
      </c>
      <c r="AV91" t="s">
        <v>156</v>
      </c>
      <c r="AW91">
        <f t="shared" si="25"/>
        <v>1860751</v>
      </c>
    </row>
    <row r="92" spans="3:49" ht="16.5" customHeight="1">
      <c r="C92" s="26"/>
      <c r="E92" s="32" t="s">
        <v>138</v>
      </c>
      <c r="F92" s="29"/>
      <c r="G92" s="29"/>
      <c r="H92" s="30"/>
      <c r="I92" s="30"/>
      <c r="J92" s="29"/>
      <c r="K92" s="30"/>
      <c r="L92" s="30"/>
      <c r="M92" s="30"/>
      <c r="N92" s="30"/>
      <c r="O92" s="30"/>
      <c r="T92" s="1"/>
      <c r="AJ92" s="1"/>
      <c r="AU92">
        <v>90</v>
      </c>
      <c r="AV92" t="s">
        <v>157</v>
      </c>
      <c r="AW92">
        <f t="shared" si="25"/>
        <v>715675</v>
      </c>
    </row>
    <row r="93" spans="3:49" ht="16.5" customHeight="1">
      <c r="E93" s="21"/>
      <c r="F93" s="20"/>
      <c r="G93" s="20"/>
      <c r="H93" s="21"/>
      <c r="I93" s="21"/>
      <c r="J93" s="20"/>
      <c r="K93" s="21"/>
      <c r="L93" s="21"/>
      <c r="M93" s="21"/>
      <c r="N93" s="21"/>
      <c r="O93" s="21"/>
      <c r="T93" s="1"/>
      <c r="AJ93" s="1"/>
      <c r="AU93">
        <v>91</v>
      </c>
      <c r="AV93" t="s">
        <v>165</v>
      </c>
      <c r="AW93">
        <f t="shared" si="25"/>
        <v>0</v>
      </c>
    </row>
    <row r="94" spans="3:49" ht="16.5" customHeight="1">
      <c r="C94" s="110" t="s">
        <v>65</v>
      </c>
      <c r="D94" s="8" t="s">
        <v>166</v>
      </c>
      <c r="E94" s="32" t="s">
        <v>152</v>
      </c>
      <c r="F94" s="29"/>
      <c r="G94" s="29"/>
      <c r="H94" s="30"/>
      <c r="I94" s="30"/>
      <c r="J94" s="29"/>
      <c r="K94" s="29">
        <v>13545918</v>
      </c>
      <c r="L94" s="30"/>
      <c r="M94" s="30"/>
      <c r="N94" s="30"/>
      <c r="O94" s="30"/>
      <c r="T94" s="1"/>
      <c r="AJ94" s="1"/>
      <c r="AU94">
        <v>92</v>
      </c>
      <c r="AV94" t="s">
        <v>138</v>
      </c>
      <c r="AW94">
        <f t="shared" si="25"/>
        <v>0</v>
      </c>
    </row>
    <row r="95" spans="3:49" ht="16.5">
      <c r="C95" s="110"/>
      <c r="E95" s="32" t="s">
        <v>153</v>
      </c>
      <c r="F95" s="29"/>
      <c r="G95" s="29"/>
      <c r="H95" s="30"/>
      <c r="I95" s="30"/>
      <c r="J95" s="29"/>
      <c r="K95" s="29">
        <v>674013</v>
      </c>
      <c r="L95" s="30"/>
      <c r="M95" s="30"/>
      <c r="N95" s="30"/>
      <c r="O95" s="30"/>
      <c r="T95" s="1"/>
      <c r="AJ95" s="1"/>
      <c r="AU95">
        <v>93</v>
      </c>
      <c r="AW95">
        <f t="shared" si="25"/>
        <v>0</v>
      </c>
    </row>
    <row r="96" spans="3:49" ht="16.5">
      <c r="C96" s="110"/>
      <c r="E96" s="32" t="s">
        <v>154</v>
      </c>
      <c r="F96" s="29"/>
      <c r="G96" s="29"/>
      <c r="H96" s="30"/>
      <c r="I96" s="30"/>
      <c r="J96" s="29"/>
      <c r="K96" s="29">
        <v>1384406</v>
      </c>
      <c r="L96" s="30"/>
      <c r="M96" s="30"/>
      <c r="N96" s="30"/>
      <c r="O96" s="30"/>
      <c r="T96" s="1"/>
      <c r="AJ96" s="1"/>
      <c r="AU96">
        <v>94</v>
      </c>
      <c r="AV96" t="s">
        <v>152</v>
      </c>
      <c r="AW96">
        <f t="shared" si="25"/>
        <v>7183708</v>
      </c>
    </row>
    <row r="97" spans="3:49" ht="16.5">
      <c r="C97" s="110"/>
      <c r="E97" s="32" t="s">
        <v>155</v>
      </c>
      <c r="F97" s="29"/>
      <c r="G97" s="29"/>
      <c r="H97" s="30"/>
      <c r="I97" s="30"/>
      <c r="J97" s="29"/>
      <c r="K97" s="29">
        <v>95150</v>
      </c>
      <c r="L97" s="30"/>
      <c r="M97" s="30"/>
      <c r="N97" s="30"/>
      <c r="O97" s="30"/>
      <c r="T97" s="1"/>
      <c r="AJ97" s="1"/>
      <c r="AU97">
        <v>95</v>
      </c>
      <c r="AV97" t="s">
        <v>153</v>
      </c>
      <c r="AW97">
        <f t="shared" si="25"/>
        <v>-1753825</v>
      </c>
    </row>
    <row r="98" spans="3:49" ht="16.5" customHeight="1">
      <c r="C98" s="110"/>
      <c r="E98" s="32" t="s">
        <v>156</v>
      </c>
      <c r="F98" s="29"/>
      <c r="G98" s="29"/>
      <c r="H98" s="30"/>
      <c r="I98" s="30"/>
      <c r="J98" s="29"/>
      <c r="K98" s="29">
        <v>1860751</v>
      </c>
      <c r="L98" s="30"/>
      <c r="M98" s="30"/>
      <c r="N98" s="30"/>
      <c r="O98" s="30"/>
      <c r="T98" s="1"/>
      <c r="AJ98" s="1"/>
      <c r="AU98">
        <v>96</v>
      </c>
      <c r="AV98" t="s">
        <v>154</v>
      </c>
      <c r="AW98">
        <f t="shared" si="25"/>
        <v>535639</v>
      </c>
    </row>
    <row r="99" spans="3:49" ht="16.5" customHeight="1">
      <c r="C99" s="110"/>
      <c r="E99" s="32" t="s">
        <v>157</v>
      </c>
      <c r="F99" s="29"/>
      <c r="G99" s="29"/>
      <c r="H99" s="30"/>
      <c r="I99" s="30"/>
      <c r="J99" s="29"/>
      <c r="K99" s="29">
        <v>715675</v>
      </c>
      <c r="L99" s="30"/>
      <c r="M99" s="30"/>
      <c r="N99" s="30"/>
      <c r="O99" s="30"/>
      <c r="T99" s="1"/>
      <c r="AJ99" s="1"/>
      <c r="AU99">
        <v>97</v>
      </c>
      <c r="AV99" t="s">
        <v>155</v>
      </c>
      <c r="AW99">
        <f t="shared" si="25"/>
        <v>228835</v>
      </c>
    </row>
    <row r="100" spans="3:49" ht="16.5" customHeight="1">
      <c r="C100" s="26"/>
      <c r="E100" s="32" t="s">
        <v>165</v>
      </c>
      <c r="F100" s="29"/>
      <c r="G100" s="29"/>
      <c r="H100" s="30"/>
      <c r="I100" s="30"/>
      <c r="J100" s="29"/>
      <c r="K100" s="30"/>
      <c r="L100" s="30"/>
      <c r="M100" s="30"/>
      <c r="N100" s="30"/>
      <c r="O100" s="30"/>
      <c r="T100" s="1"/>
      <c r="AJ100" s="1"/>
      <c r="AU100">
        <v>98</v>
      </c>
      <c r="AV100" t="s">
        <v>156</v>
      </c>
      <c r="AW100">
        <f t="shared" si="25"/>
        <v>-272972</v>
      </c>
    </row>
    <row r="101" spans="3:49" ht="16.5" customHeight="1">
      <c r="C101" s="26"/>
      <c r="E101" s="32" t="s">
        <v>138</v>
      </c>
      <c r="F101" s="29"/>
      <c r="G101" s="29"/>
      <c r="H101" s="30"/>
      <c r="I101" s="30"/>
      <c r="J101" s="29"/>
      <c r="K101" s="30"/>
      <c r="L101" s="30"/>
      <c r="M101" s="30"/>
      <c r="N101" s="30"/>
      <c r="O101" s="30"/>
      <c r="T101" s="1"/>
      <c r="AJ101" s="1"/>
      <c r="AU101">
        <v>99</v>
      </c>
      <c r="AV101" t="s">
        <v>157</v>
      </c>
      <c r="AW101">
        <f t="shared" si="25"/>
        <v>520183</v>
      </c>
    </row>
    <row r="102" spans="3:49">
      <c r="E102" s="21"/>
      <c r="F102" s="20"/>
      <c r="G102" s="20"/>
      <c r="H102" s="21"/>
      <c r="I102" s="21"/>
      <c r="J102" s="20"/>
      <c r="K102" s="21"/>
      <c r="L102" s="21"/>
      <c r="M102" s="21"/>
      <c r="N102" s="21"/>
      <c r="O102" s="21"/>
      <c r="T102" s="1"/>
      <c r="AJ102" s="1"/>
      <c r="AU102">
        <v>100</v>
      </c>
      <c r="AV102" t="s">
        <v>165</v>
      </c>
      <c r="AW102">
        <f t="shared" si="25"/>
        <v>0</v>
      </c>
    </row>
    <row r="103" spans="3:49" ht="16.5" customHeight="1">
      <c r="C103" s="110" t="s">
        <v>67</v>
      </c>
      <c r="E103" s="32" t="s">
        <v>152</v>
      </c>
      <c r="F103" s="29"/>
      <c r="G103" s="29"/>
      <c r="H103" s="30"/>
      <c r="I103" s="30"/>
      <c r="J103" s="29"/>
      <c r="K103" s="29">
        <v>7183708</v>
      </c>
      <c r="L103" s="30"/>
      <c r="M103" s="30"/>
      <c r="N103" s="30"/>
      <c r="O103" s="30"/>
      <c r="T103" s="1"/>
      <c r="AJ103" s="1"/>
      <c r="AU103">
        <v>101</v>
      </c>
      <c r="AV103" t="s">
        <v>138</v>
      </c>
      <c r="AW103">
        <f t="shared" si="25"/>
        <v>0</v>
      </c>
    </row>
    <row r="104" spans="3:49" ht="16.5">
      <c r="C104" s="110"/>
      <c r="E104" s="32" t="s">
        <v>153</v>
      </c>
      <c r="F104" s="29"/>
      <c r="G104" s="29"/>
      <c r="H104" s="30"/>
      <c r="I104" s="30"/>
      <c r="J104" s="29"/>
      <c r="K104" s="29">
        <v>-1753825</v>
      </c>
      <c r="L104" s="30"/>
      <c r="M104" s="30"/>
      <c r="N104" s="30"/>
      <c r="O104" s="30"/>
      <c r="T104" s="1"/>
      <c r="AJ104" s="1"/>
      <c r="AU104">
        <v>102</v>
      </c>
      <c r="AW104">
        <f t="shared" si="25"/>
        <v>0</v>
      </c>
    </row>
    <row r="105" spans="3:49" ht="16.5">
      <c r="C105" s="110"/>
      <c r="E105" s="32" t="s">
        <v>154</v>
      </c>
      <c r="F105" s="29"/>
      <c r="G105" s="29"/>
      <c r="H105" s="30"/>
      <c r="I105" s="30"/>
      <c r="J105" s="29"/>
      <c r="K105" s="29">
        <v>535639</v>
      </c>
      <c r="L105" s="30"/>
      <c r="M105" s="30"/>
      <c r="N105" s="30"/>
      <c r="O105" s="30"/>
      <c r="T105" s="1"/>
      <c r="AJ105" s="1"/>
      <c r="AU105">
        <v>103</v>
      </c>
      <c r="AV105" t="s">
        <v>152</v>
      </c>
      <c r="AW105">
        <f t="shared" si="25"/>
        <v>0.54914189282626291</v>
      </c>
    </row>
    <row r="106" spans="3:49" ht="14.25" customHeight="1">
      <c r="C106" s="110"/>
      <c r="E106" s="32" t="s">
        <v>155</v>
      </c>
      <c r="F106" s="29"/>
      <c r="G106" s="29"/>
      <c r="H106" s="30"/>
      <c r="I106" s="30"/>
      <c r="J106" s="29"/>
      <c r="K106" s="29">
        <v>228835</v>
      </c>
      <c r="L106" s="30"/>
      <c r="M106" s="30"/>
      <c r="N106" s="30"/>
      <c r="O106" s="30"/>
      <c r="T106" s="1"/>
      <c r="AJ106" s="1"/>
      <c r="AU106">
        <v>104</v>
      </c>
      <c r="AV106" t="s">
        <v>153</v>
      </c>
      <c r="AW106">
        <f t="shared" si="25"/>
        <v>0.77074407327357419</v>
      </c>
    </row>
    <row r="107" spans="3:49" ht="14.25" customHeight="1">
      <c r="C107" s="110"/>
      <c r="E107" s="32" t="s">
        <v>156</v>
      </c>
      <c r="F107" s="29"/>
      <c r="G107" s="29"/>
      <c r="H107" s="30"/>
      <c r="I107" s="30"/>
      <c r="J107" s="29"/>
      <c r="K107" s="29">
        <v>-272972</v>
      </c>
      <c r="L107" s="30"/>
      <c r="M107" s="30"/>
      <c r="N107" s="30"/>
      <c r="O107" s="30"/>
      <c r="T107" s="1"/>
      <c r="AJ107" s="1"/>
      <c r="AU107">
        <v>105</v>
      </c>
      <c r="AV107" t="s">
        <v>154</v>
      </c>
      <c r="AW107">
        <f t="shared" si="25"/>
        <v>0.47005456342834323</v>
      </c>
    </row>
    <row r="108" spans="3:49" ht="14.25" customHeight="1">
      <c r="C108" s="110"/>
      <c r="E108" s="32" t="s">
        <v>157</v>
      </c>
      <c r="F108" s="29"/>
      <c r="G108" s="29"/>
      <c r="H108" s="30"/>
      <c r="I108" s="30"/>
      <c r="J108" s="29"/>
      <c r="K108" s="29">
        <v>520183</v>
      </c>
      <c r="L108" s="30"/>
      <c r="M108" s="30"/>
      <c r="N108" s="30"/>
      <c r="O108" s="30"/>
      <c r="T108" s="1"/>
      <c r="AJ108" s="1"/>
      <c r="AU108">
        <v>106</v>
      </c>
      <c r="AV108" t="s">
        <v>155</v>
      </c>
      <c r="AW108">
        <f t="shared" si="25"/>
        <v>0.50967294820965092</v>
      </c>
    </row>
    <row r="109" spans="3:49" ht="14.25" customHeight="1">
      <c r="C109" s="26"/>
      <c r="E109" s="32" t="s">
        <v>165</v>
      </c>
      <c r="F109" s="29"/>
      <c r="G109" s="29"/>
      <c r="H109" s="30"/>
      <c r="I109" s="30"/>
      <c r="J109" s="29"/>
      <c r="K109" s="30"/>
      <c r="L109" s="30"/>
      <c r="M109" s="30"/>
      <c r="N109" s="30"/>
      <c r="O109" s="30"/>
      <c r="T109" s="1"/>
      <c r="AJ109" s="1"/>
      <c r="AU109">
        <v>107</v>
      </c>
      <c r="AV109" t="s">
        <v>156</v>
      </c>
      <c r="AW109">
        <f t="shared" si="25"/>
        <v>0.7563475432368052</v>
      </c>
    </row>
    <row r="110" spans="3:49" ht="16.5">
      <c r="C110" s="26"/>
      <c r="E110" s="32" t="s">
        <v>138</v>
      </c>
      <c r="F110" s="29"/>
      <c r="G110" s="29"/>
      <c r="H110" s="30"/>
      <c r="I110" s="30"/>
      <c r="J110" s="29"/>
      <c r="K110" s="30"/>
      <c r="L110" s="30"/>
      <c r="M110" s="30"/>
      <c r="N110" s="30"/>
      <c r="O110" s="30"/>
      <c r="T110" s="1"/>
      <c r="AJ110" s="1"/>
      <c r="AU110">
        <v>108</v>
      </c>
      <c r="AV110" t="s">
        <v>157</v>
      </c>
      <c r="AW110">
        <f t="shared" si="25"/>
        <v>0.72725133969685785</v>
      </c>
    </row>
    <row r="111" spans="3:49">
      <c r="E111" s="21"/>
      <c r="F111" s="20"/>
      <c r="G111" s="20"/>
      <c r="H111" s="21"/>
      <c r="I111" s="21"/>
      <c r="J111" s="20"/>
      <c r="K111" s="21"/>
      <c r="L111" s="21"/>
      <c r="M111" s="21"/>
      <c r="N111" s="21"/>
      <c r="O111" s="21"/>
      <c r="T111" s="1"/>
      <c r="AJ111" s="1"/>
      <c r="AU111">
        <v>109</v>
      </c>
      <c r="AV111" t="s">
        <v>165</v>
      </c>
      <c r="AW111" t="e">
        <f t="shared" si="25"/>
        <v>#DIV/0!</v>
      </c>
    </row>
    <row r="112" spans="3:49" ht="14.25" customHeight="1">
      <c r="C112" s="111" t="s">
        <v>26</v>
      </c>
      <c r="D112" s="9" t="s">
        <v>68</v>
      </c>
      <c r="E112" s="22" t="s">
        <v>152</v>
      </c>
      <c r="F112" s="23" t="e">
        <f>F85/F76</f>
        <v>#DIV/0!</v>
      </c>
      <c r="G112" s="23" t="e">
        <f t="shared" ref="G112:O112" si="29">G85/G76</f>
        <v>#DIV/0!</v>
      </c>
      <c r="H112" s="23" t="e">
        <f t="shared" si="29"/>
        <v>#DIV/0!</v>
      </c>
      <c r="I112" s="23" t="e">
        <f t="shared" si="29"/>
        <v>#DIV/0!</v>
      </c>
      <c r="J112" s="23" t="e">
        <f t="shared" si="29"/>
        <v>#DIV/0!</v>
      </c>
      <c r="K112" s="23">
        <f t="shared" si="29"/>
        <v>0.54914189282626291</v>
      </c>
      <c r="L112" s="23" t="e">
        <f t="shared" si="29"/>
        <v>#DIV/0!</v>
      </c>
      <c r="M112" s="23" t="e">
        <f t="shared" si="29"/>
        <v>#DIV/0!</v>
      </c>
      <c r="N112" s="23" t="e">
        <f t="shared" si="29"/>
        <v>#DIV/0!</v>
      </c>
      <c r="O112" s="23" t="e">
        <f t="shared" si="29"/>
        <v>#DIV/0!</v>
      </c>
      <c r="T112" s="1"/>
      <c r="AJ112" s="1"/>
      <c r="AU112">
        <v>110</v>
      </c>
      <c r="AV112" t="s">
        <v>152</v>
      </c>
      <c r="AW112">
        <f t="shared" si="25"/>
        <v>0.96816290956814322</v>
      </c>
    </row>
    <row r="113" spans="1:49">
      <c r="C113" s="111"/>
      <c r="D113" s="10" t="s">
        <v>69</v>
      </c>
      <c r="E113" s="22" t="s">
        <v>153</v>
      </c>
      <c r="F113" s="23" t="e">
        <f t="shared" ref="F113:O118" si="30">F86/F77</f>
        <v>#DIV/0!</v>
      </c>
      <c r="G113" s="23" t="e">
        <f t="shared" si="30"/>
        <v>#DIV/0!</v>
      </c>
      <c r="H113" s="23" t="e">
        <f t="shared" si="30"/>
        <v>#DIV/0!</v>
      </c>
      <c r="I113" s="23" t="e">
        <f t="shared" si="30"/>
        <v>#DIV/0!</v>
      </c>
      <c r="J113" s="23" t="e">
        <f t="shared" si="30"/>
        <v>#DIV/0!</v>
      </c>
      <c r="K113" s="23">
        <f t="shared" si="30"/>
        <v>0.77074407327357419</v>
      </c>
      <c r="L113" s="23" t="e">
        <f t="shared" si="30"/>
        <v>#DIV/0!</v>
      </c>
      <c r="M113" s="23" t="e">
        <f t="shared" si="30"/>
        <v>#DIV/0!</v>
      </c>
      <c r="N113" s="23" t="e">
        <f t="shared" si="30"/>
        <v>#DIV/0!</v>
      </c>
      <c r="O113" s="23" t="e">
        <f t="shared" si="30"/>
        <v>#DIV/0!</v>
      </c>
      <c r="T113" s="1"/>
      <c r="AJ113" s="1"/>
      <c r="AU113">
        <v>111</v>
      </c>
      <c r="AV113" t="s">
        <v>153</v>
      </c>
      <c r="AW113">
        <f t="shared" si="25"/>
        <v>1.1460236920021405</v>
      </c>
    </row>
    <row r="114" spans="1:49">
      <c r="C114" s="111"/>
      <c r="E114" s="22" t="s">
        <v>154</v>
      </c>
      <c r="F114" s="23" t="e">
        <f t="shared" si="30"/>
        <v>#DIV/0!</v>
      </c>
      <c r="G114" s="23" t="e">
        <f t="shared" si="30"/>
        <v>#DIV/0!</v>
      </c>
      <c r="H114" s="23" t="e">
        <f t="shared" si="30"/>
        <v>#DIV/0!</v>
      </c>
      <c r="I114" s="23" t="e">
        <f t="shared" si="30"/>
        <v>#DIV/0!</v>
      </c>
      <c r="J114" s="23" t="e">
        <f t="shared" si="30"/>
        <v>#DIV/0!</v>
      </c>
      <c r="K114" s="23">
        <f t="shared" si="30"/>
        <v>0.47005456342834323</v>
      </c>
      <c r="L114" s="23" t="e">
        <f t="shared" si="30"/>
        <v>#DIV/0!</v>
      </c>
      <c r="M114" s="23" t="e">
        <f t="shared" si="30"/>
        <v>#DIV/0!</v>
      </c>
      <c r="N114" s="23" t="e">
        <f t="shared" si="30"/>
        <v>#DIV/0!</v>
      </c>
      <c r="O114" s="23" t="e">
        <f t="shared" si="30"/>
        <v>#DIV/0!</v>
      </c>
      <c r="T114" s="1"/>
      <c r="AJ114" s="1"/>
      <c r="AU114">
        <v>112</v>
      </c>
      <c r="AV114" t="s">
        <v>154</v>
      </c>
      <c r="AW114">
        <f t="shared" si="25"/>
        <v>0.96090440875070215</v>
      </c>
    </row>
    <row r="115" spans="1:49">
      <c r="C115" s="111"/>
      <c r="E115" s="22" t="s">
        <v>155</v>
      </c>
      <c r="F115" s="23" t="e">
        <f t="shared" si="30"/>
        <v>#DIV/0!</v>
      </c>
      <c r="G115" s="23" t="e">
        <f t="shared" si="30"/>
        <v>#DIV/0!</v>
      </c>
      <c r="H115" s="23" t="e">
        <f t="shared" si="30"/>
        <v>#DIV/0!</v>
      </c>
      <c r="I115" s="23" t="e">
        <f t="shared" si="30"/>
        <v>#DIV/0!</v>
      </c>
      <c r="J115" s="23" t="e">
        <f t="shared" si="30"/>
        <v>#DIV/0!</v>
      </c>
      <c r="K115" s="23">
        <f t="shared" si="30"/>
        <v>0.50967294820965092</v>
      </c>
      <c r="L115" s="23" t="e">
        <f t="shared" si="30"/>
        <v>#DIV/0!</v>
      </c>
      <c r="M115" s="23" t="e">
        <f t="shared" si="30"/>
        <v>#DIV/0!</v>
      </c>
      <c r="N115" s="23" t="e">
        <f t="shared" si="30"/>
        <v>#DIV/0!</v>
      </c>
      <c r="O115" s="23" t="e">
        <f t="shared" si="30"/>
        <v>#DIV/0!</v>
      </c>
      <c r="T115" s="1"/>
      <c r="AJ115" s="1"/>
      <c r="AU115">
        <v>113</v>
      </c>
      <c r="AV115" t="s">
        <v>155</v>
      </c>
      <c r="AW115">
        <f t="shared" si="25"/>
        <v>0.92301507334821431</v>
      </c>
    </row>
    <row r="116" spans="1:49">
      <c r="C116" s="111"/>
      <c r="E116" s="22" t="s">
        <v>156</v>
      </c>
      <c r="F116" s="23" t="e">
        <f t="shared" si="30"/>
        <v>#DIV/0!</v>
      </c>
      <c r="G116" s="23" t="e">
        <f t="shared" si="30"/>
        <v>#DIV/0!</v>
      </c>
      <c r="H116" s="23" t="e">
        <f t="shared" si="30"/>
        <v>#DIV/0!</v>
      </c>
      <c r="I116" s="23" t="e">
        <f t="shared" si="30"/>
        <v>#DIV/0!</v>
      </c>
      <c r="J116" s="23" t="e">
        <f t="shared" si="30"/>
        <v>#DIV/0!</v>
      </c>
      <c r="K116" s="23">
        <f t="shared" si="30"/>
        <v>0.7563475432368052</v>
      </c>
      <c r="L116" s="23" t="e">
        <f t="shared" si="30"/>
        <v>#DIV/0!</v>
      </c>
      <c r="M116" s="23" t="e">
        <f t="shared" si="30"/>
        <v>#DIV/0!</v>
      </c>
      <c r="N116" s="23" t="e">
        <f t="shared" si="30"/>
        <v>#DIV/0!</v>
      </c>
      <c r="O116" s="23" t="e">
        <f t="shared" si="30"/>
        <v>#DIV/0!</v>
      </c>
      <c r="T116" s="1"/>
      <c r="AJ116" s="1"/>
      <c r="AU116">
        <v>114</v>
      </c>
      <c r="AV116" t="s">
        <v>156</v>
      </c>
      <c r="AW116">
        <f t="shared" si="25"/>
        <v>1.0116503132271122</v>
      </c>
    </row>
    <row r="117" spans="1:49">
      <c r="C117" s="111"/>
      <c r="E117" s="22" t="s">
        <v>157</v>
      </c>
      <c r="F117" s="23" t="e">
        <f t="shared" si="30"/>
        <v>#DIV/0!</v>
      </c>
      <c r="G117" s="23" t="e">
        <f t="shared" si="30"/>
        <v>#DIV/0!</v>
      </c>
      <c r="H117" s="23" t="e">
        <f t="shared" si="30"/>
        <v>#DIV/0!</v>
      </c>
      <c r="I117" s="23" t="e">
        <f t="shared" si="30"/>
        <v>#DIV/0!</v>
      </c>
      <c r="J117" s="23" t="e">
        <f t="shared" si="30"/>
        <v>#DIV/0!</v>
      </c>
      <c r="K117" s="23">
        <f t="shared" si="30"/>
        <v>0.72725133969685785</v>
      </c>
      <c r="L117" s="23" t="e">
        <f t="shared" si="30"/>
        <v>#DIV/0!</v>
      </c>
      <c r="M117" s="23" t="e">
        <f t="shared" si="30"/>
        <v>#DIV/0!</v>
      </c>
      <c r="N117" s="23" t="e">
        <f t="shared" si="30"/>
        <v>#DIV/0!</v>
      </c>
      <c r="O117" s="23" t="e">
        <f t="shared" si="30"/>
        <v>#DIV/0!</v>
      </c>
      <c r="T117" s="1"/>
      <c r="AJ117" s="1"/>
      <c r="AU117">
        <v>115</v>
      </c>
      <c r="AV117" t="s">
        <v>157</v>
      </c>
      <c r="AW117">
        <f t="shared" si="25"/>
        <v>0.97313282389395372</v>
      </c>
    </row>
    <row r="118" spans="1:49">
      <c r="C118" s="111"/>
      <c r="E118" s="22" t="s">
        <v>165</v>
      </c>
      <c r="F118" s="23" t="e">
        <f>F91/F82</f>
        <v>#DIV/0!</v>
      </c>
      <c r="G118" s="23" t="e">
        <f t="shared" si="30"/>
        <v>#DIV/0!</v>
      </c>
      <c r="H118" s="23" t="e">
        <f t="shared" si="30"/>
        <v>#DIV/0!</v>
      </c>
      <c r="I118" s="23" t="e">
        <f t="shared" si="30"/>
        <v>#DIV/0!</v>
      </c>
      <c r="J118" s="23" t="e">
        <f t="shared" si="30"/>
        <v>#DIV/0!</v>
      </c>
      <c r="K118" s="23" t="e">
        <f t="shared" si="30"/>
        <v>#DIV/0!</v>
      </c>
      <c r="L118" s="23" t="e">
        <f t="shared" si="30"/>
        <v>#DIV/0!</v>
      </c>
      <c r="M118" s="23" t="e">
        <f t="shared" si="30"/>
        <v>#DIV/0!</v>
      </c>
      <c r="N118" s="23" t="e">
        <f t="shared" si="30"/>
        <v>#DIV/0!</v>
      </c>
      <c r="O118" s="23" t="e">
        <f t="shared" si="30"/>
        <v>#DIV/0!</v>
      </c>
      <c r="T118" s="1"/>
      <c r="AJ118" s="1"/>
      <c r="AU118">
        <v>116</v>
      </c>
      <c r="AV118" t="s">
        <v>165</v>
      </c>
      <c r="AW118" t="e">
        <f t="shared" si="25"/>
        <v>#DIV/0!</v>
      </c>
    </row>
    <row r="119" spans="1:49">
      <c r="C119" s="111"/>
      <c r="D119" s="9" t="s">
        <v>31</v>
      </c>
      <c r="E119" s="22" t="s">
        <v>152</v>
      </c>
      <c r="F119" s="23" t="e">
        <f t="shared" ref="F119:O125" si="31">1-(F103/F76)</f>
        <v>#DIV/0!</v>
      </c>
      <c r="G119" s="23" t="e">
        <f t="shared" si="31"/>
        <v>#DIV/0!</v>
      </c>
      <c r="H119" s="23" t="e">
        <f t="shared" si="31"/>
        <v>#DIV/0!</v>
      </c>
      <c r="I119" s="23" t="e">
        <f t="shared" si="31"/>
        <v>#DIV/0!</v>
      </c>
      <c r="J119" s="23" t="e">
        <f t="shared" si="31"/>
        <v>#DIV/0!</v>
      </c>
      <c r="K119" s="23">
        <f t="shared" si="31"/>
        <v>0.96816290956814322</v>
      </c>
      <c r="L119" s="23" t="e">
        <f t="shared" si="31"/>
        <v>#DIV/0!</v>
      </c>
      <c r="M119" s="23" t="e">
        <f t="shared" si="31"/>
        <v>#DIV/0!</v>
      </c>
      <c r="N119" s="23" t="e">
        <f t="shared" si="31"/>
        <v>#DIV/0!</v>
      </c>
      <c r="O119" s="23" t="e">
        <f t="shared" si="31"/>
        <v>#DIV/0!</v>
      </c>
      <c r="T119" s="1"/>
      <c r="AJ119" s="1"/>
      <c r="AU119">
        <v>117</v>
      </c>
      <c r="AW119">
        <f t="shared" si="25"/>
        <v>0</v>
      </c>
    </row>
    <row r="120" spans="1:49">
      <c r="C120" s="111"/>
      <c r="D120" s="10" t="s">
        <v>70</v>
      </c>
      <c r="E120" s="22" t="s">
        <v>153</v>
      </c>
      <c r="F120" s="23" t="e">
        <f t="shared" si="31"/>
        <v>#DIV/0!</v>
      </c>
      <c r="G120" s="23" t="e">
        <f t="shared" si="31"/>
        <v>#DIV/0!</v>
      </c>
      <c r="H120" s="23" t="e">
        <f t="shared" si="31"/>
        <v>#DIV/0!</v>
      </c>
      <c r="I120" s="23" t="e">
        <f t="shared" si="31"/>
        <v>#DIV/0!</v>
      </c>
      <c r="J120" s="23" t="e">
        <f t="shared" si="31"/>
        <v>#DIV/0!</v>
      </c>
      <c r="K120" s="23">
        <f t="shared" si="31"/>
        <v>1.1460236920021405</v>
      </c>
      <c r="L120" s="23" t="e">
        <f t="shared" si="31"/>
        <v>#DIV/0!</v>
      </c>
      <c r="M120" s="23" t="e">
        <f t="shared" si="31"/>
        <v>#DIV/0!</v>
      </c>
      <c r="N120" s="23" t="e">
        <f t="shared" si="31"/>
        <v>#DIV/0!</v>
      </c>
      <c r="O120" s="23" t="e">
        <f t="shared" si="31"/>
        <v>#DIV/0!</v>
      </c>
      <c r="T120" s="1"/>
      <c r="AJ120" s="1"/>
      <c r="AU120">
        <v>118</v>
      </c>
      <c r="AV120" t="s">
        <v>158</v>
      </c>
      <c r="AW120">
        <f t="shared" si="25"/>
        <v>49070981</v>
      </c>
    </row>
    <row r="121" spans="1:49">
      <c r="C121" s="111"/>
      <c r="E121" s="22" t="s">
        <v>154</v>
      </c>
      <c r="F121" s="23" t="e">
        <f t="shared" si="31"/>
        <v>#DIV/0!</v>
      </c>
      <c r="G121" s="23" t="e">
        <f t="shared" si="31"/>
        <v>#DIV/0!</v>
      </c>
      <c r="H121" s="23" t="e">
        <f t="shared" si="31"/>
        <v>#DIV/0!</v>
      </c>
      <c r="I121" s="23" t="e">
        <f t="shared" si="31"/>
        <v>#DIV/0!</v>
      </c>
      <c r="J121" s="23" t="e">
        <f t="shared" si="31"/>
        <v>#DIV/0!</v>
      </c>
      <c r="K121" s="23">
        <f t="shared" si="31"/>
        <v>0.96090440875070215</v>
      </c>
      <c r="L121" s="23" t="e">
        <f t="shared" si="31"/>
        <v>#DIV/0!</v>
      </c>
      <c r="M121" s="23" t="e">
        <f t="shared" si="31"/>
        <v>#DIV/0!</v>
      </c>
      <c r="N121" s="23" t="e">
        <f t="shared" si="31"/>
        <v>#DIV/0!</v>
      </c>
      <c r="O121" s="23" t="e">
        <f t="shared" si="31"/>
        <v>#DIV/0!</v>
      </c>
      <c r="T121" s="1"/>
      <c r="AJ121" s="1"/>
      <c r="AU121">
        <v>119</v>
      </c>
      <c r="AV121" t="s">
        <v>159</v>
      </c>
      <c r="AW121">
        <f t="shared" si="25"/>
        <v>140792722</v>
      </c>
    </row>
    <row r="122" spans="1:49">
      <c r="C122" s="111"/>
      <c r="E122" s="22" t="s">
        <v>155</v>
      </c>
      <c r="F122" s="23" t="e">
        <f t="shared" si="31"/>
        <v>#DIV/0!</v>
      </c>
      <c r="G122" s="23" t="e">
        <f t="shared" si="31"/>
        <v>#DIV/0!</v>
      </c>
      <c r="H122" s="23" t="e">
        <f t="shared" si="31"/>
        <v>#DIV/0!</v>
      </c>
      <c r="I122" s="23" t="e">
        <f t="shared" si="31"/>
        <v>#DIV/0!</v>
      </c>
      <c r="J122" s="23" t="e">
        <f t="shared" si="31"/>
        <v>#DIV/0!</v>
      </c>
      <c r="K122" s="23">
        <f t="shared" si="31"/>
        <v>0.92301507334821431</v>
      </c>
      <c r="L122" s="23" t="e">
        <f t="shared" si="31"/>
        <v>#DIV/0!</v>
      </c>
      <c r="M122" s="23" t="e">
        <f t="shared" si="31"/>
        <v>#DIV/0!</v>
      </c>
      <c r="N122" s="23" t="e">
        <f t="shared" si="31"/>
        <v>#DIV/0!</v>
      </c>
      <c r="O122" s="23" t="e">
        <f t="shared" si="31"/>
        <v>#DIV/0!</v>
      </c>
      <c r="T122" s="1"/>
      <c r="AJ122" s="1"/>
      <c r="AU122">
        <v>120</v>
      </c>
      <c r="AV122" t="s">
        <v>110</v>
      </c>
      <c r="AW122">
        <f>HLOOKUP($AW$3,$F$10:$O$129,AU122,FALSE)</f>
        <v>2.8691646087124281</v>
      </c>
    </row>
    <row r="123" spans="1:49">
      <c r="C123" s="111"/>
      <c r="E123" s="22" t="s">
        <v>156</v>
      </c>
      <c r="F123" s="23" t="e">
        <f t="shared" si="31"/>
        <v>#DIV/0!</v>
      </c>
      <c r="G123" s="23" t="e">
        <f t="shared" si="31"/>
        <v>#DIV/0!</v>
      </c>
      <c r="H123" s="23" t="e">
        <f t="shared" si="31"/>
        <v>#DIV/0!</v>
      </c>
      <c r="I123" s="23" t="e">
        <f t="shared" si="31"/>
        <v>#DIV/0!</v>
      </c>
      <c r="J123" s="23" t="e">
        <f t="shared" si="31"/>
        <v>#DIV/0!</v>
      </c>
      <c r="K123" s="23">
        <f t="shared" si="31"/>
        <v>1.0116503132271122</v>
      </c>
      <c r="L123" s="23" t="e">
        <f t="shared" si="31"/>
        <v>#DIV/0!</v>
      </c>
      <c r="M123" s="23" t="e">
        <f t="shared" si="31"/>
        <v>#DIV/0!</v>
      </c>
      <c r="N123" s="23" t="e">
        <f t="shared" si="31"/>
        <v>#DIV/0!</v>
      </c>
      <c r="O123" s="23" t="e">
        <f t="shared" si="31"/>
        <v>#DIV/0!</v>
      </c>
      <c r="T123" s="1"/>
      <c r="AJ123" s="1"/>
    </row>
    <row r="124" spans="1:49">
      <c r="C124" s="111"/>
      <c r="E124" s="22" t="s">
        <v>157</v>
      </c>
      <c r="F124" s="23" t="e">
        <f t="shared" si="31"/>
        <v>#DIV/0!</v>
      </c>
      <c r="G124" s="23" t="e">
        <f t="shared" si="31"/>
        <v>#DIV/0!</v>
      </c>
      <c r="H124" s="23" t="e">
        <f t="shared" si="31"/>
        <v>#DIV/0!</v>
      </c>
      <c r="I124" s="23" t="e">
        <f t="shared" si="31"/>
        <v>#DIV/0!</v>
      </c>
      <c r="J124" s="23" t="e">
        <f t="shared" si="31"/>
        <v>#DIV/0!</v>
      </c>
      <c r="K124" s="23">
        <f t="shared" si="31"/>
        <v>0.97313282389395372</v>
      </c>
      <c r="L124" s="23" t="e">
        <f t="shared" si="31"/>
        <v>#DIV/0!</v>
      </c>
      <c r="M124" s="23" t="e">
        <f t="shared" si="31"/>
        <v>#DIV/0!</v>
      </c>
      <c r="N124" s="23" t="e">
        <f t="shared" si="31"/>
        <v>#DIV/0!</v>
      </c>
      <c r="O124" s="23" t="e">
        <f t="shared" si="31"/>
        <v>#DIV/0!</v>
      </c>
      <c r="T124" s="1"/>
      <c r="AJ124" s="1"/>
    </row>
    <row r="125" spans="1:49">
      <c r="C125" s="27"/>
      <c r="E125" s="22" t="s">
        <v>165</v>
      </c>
      <c r="F125" s="23" t="e">
        <f t="shared" si="31"/>
        <v>#DIV/0!</v>
      </c>
      <c r="G125" s="23" t="e">
        <f t="shared" si="31"/>
        <v>#DIV/0!</v>
      </c>
      <c r="H125" s="23" t="e">
        <f t="shared" si="31"/>
        <v>#DIV/0!</v>
      </c>
      <c r="I125" s="23" t="e">
        <f t="shared" si="31"/>
        <v>#DIV/0!</v>
      </c>
      <c r="J125" s="23" t="e">
        <f t="shared" si="31"/>
        <v>#DIV/0!</v>
      </c>
      <c r="K125" s="23" t="e">
        <f t="shared" si="31"/>
        <v>#DIV/0!</v>
      </c>
      <c r="L125" s="23" t="e">
        <f t="shared" si="31"/>
        <v>#DIV/0!</v>
      </c>
      <c r="M125" s="23" t="e">
        <f t="shared" si="31"/>
        <v>#DIV/0!</v>
      </c>
      <c r="N125" s="23" t="e">
        <f t="shared" si="31"/>
        <v>#DIV/0!</v>
      </c>
      <c r="O125" s="23" t="e">
        <f t="shared" si="31"/>
        <v>#DIV/0!</v>
      </c>
      <c r="T125" s="1"/>
      <c r="AJ125" s="1"/>
    </row>
    <row r="126" spans="1:49">
      <c r="E126" s="21"/>
      <c r="F126" s="25"/>
      <c r="G126" s="25"/>
      <c r="H126" s="21"/>
      <c r="I126" s="21"/>
      <c r="J126" s="21"/>
      <c r="K126" s="21"/>
      <c r="L126" s="21"/>
      <c r="M126" s="21"/>
      <c r="N126" s="21"/>
      <c r="O126" s="21"/>
      <c r="T126" s="1"/>
      <c r="AJ126" s="1"/>
    </row>
    <row r="127" spans="1:49">
      <c r="A127" s="109" t="s">
        <v>113</v>
      </c>
      <c r="B127" s="109"/>
      <c r="E127" s="30" t="s">
        <v>158</v>
      </c>
      <c r="F127" s="29"/>
      <c r="G127" s="29"/>
      <c r="H127" s="30"/>
      <c r="I127" s="30"/>
      <c r="J127" s="29">
        <v>37830775</v>
      </c>
      <c r="K127" s="29">
        <v>49070981</v>
      </c>
      <c r="L127" s="30"/>
      <c r="M127" s="30"/>
      <c r="N127" s="30"/>
      <c r="O127" s="30"/>
      <c r="T127" s="1"/>
      <c r="AJ127" s="1"/>
    </row>
    <row r="128" spans="1:49">
      <c r="A128" s="109"/>
      <c r="B128" s="109"/>
      <c r="E128" s="33" t="s">
        <v>159</v>
      </c>
      <c r="F128" s="34"/>
      <c r="G128" s="34"/>
      <c r="H128" s="34"/>
      <c r="I128" s="34"/>
      <c r="J128" s="68">
        <v>85355820</v>
      </c>
      <c r="K128" s="68">
        <v>140792722</v>
      </c>
      <c r="L128" s="34"/>
      <c r="M128" s="34"/>
      <c r="N128" s="34"/>
      <c r="O128" s="34"/>
      <c r="T128" s="1"/>
      <c r="AJ128" s="1"/>
    </row>
    <row r="129" spans="5:36">
      <c r="E129" s="22" t="s">
        <v>110</v>
      </c>
      <c r="F129" s="42" t="e">
        <f>F128/F127</f>
        <v>#DIV/0!</v>
      </c>
      <c r="G129" s="42" t="e">
        <f t="shared" ref="G129:O129" si="32">G128/G127</f>
        <v>#DIV/0!</v>
      </c>
      <c r="H129" s="42" t="e">
        <f t="shared" si="32"/>
        <v>#DIV/0!</v>
      </c>
      <c r="I129" s="42" t="e">
        <f t="shared" si="32"/>
        <v>#DIV/0!</v>
      </c>
      <c r="J129" s="42">
        <f t="shared" si="32"/>
        <v>2.2562535396115995</v>
      </c>
      <c r="K129" s="42">
        <f t="shared" si="32"/>
        <v>2.8691646087124281</v>
      </c>
      <c r="L129" s="42" t="e">
        <f t="shared" si="32"/>
        <v>#DIV/0!</v>
      </c>
      <c r="M129" s="42" t="e">
        <f t="shared" si="32"/>
        <v>#DIV/0!</v>
      </c>
      <c r="N129" s="42" t="e">
        <f t="shared" si="32"/>
        <v>#DIV/0!</v>
      </c>
      <c r="O129" s="42" t="e">
        <f t="shared" si="32"/>
        <v>#DIV/0!</v>
      </c>
      <c r="T129" s="1"/>
      <c r="AJ129" s="1"/>
    </row>
    <row r="130" spans="5:36">
      <c r="T130" s="1"/>
      <c r="AJ130" s="1"/>
    </row>
    <row r="131" spans="5:36">
      <c r="T131" s="1"/>
      <c r="AJ131" s="1"/>
    </row>
    <row r="132" spans="5:36">
      <c r="T132" s="1"/>
      <c r="AJ132" s="1"/>
    </row>
    <row r="133" spans="5:36">
      <c r="T133" s="1"/>
      <c r="AJ133" s="1"/>
    </row>
    <row r="134" spans="5:36">
      <c r="T134" s="1"/>
      <c r="AJ134" s="1"/>
    </row>
    <row r="135" spans="5:36">
      <c r="T135" s="1"/>
      <c r="AJ135" s="1"/>
    </row>
    <row r="136" spans="5:36"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T136" s="1"/>
      <c r="AJ136" s="1"/>
    </row>
    <row r="137" spans="5:36">
      <c r="T137" s="1"/>
      <c r="AJ137" s="1"/>
    </row>
    <row r="138" spans="5:36">
      <c r="T138" s="1"/>
      <c r="AJ138" s="1"/>
    </row>
  </sheetData>
  <mergeCells count="28">
    <mergeCell ref="AN22:AR22"/>
    <mergeCell ref="C103:C108"/>
    <mergeCell ref="C112:C124"/>
    <mergeCell ref="A127:B128"/>
    <mergeCell ref="A43:B44"/>
    <mergeCell ref="C59:C64"/>
    <mergeCell ref="A66:B67"/>
    <mergeCell ref="C66:C74"/>
    <mergeCell ref="C43:C51"/>
    <mergeCell ref="C53:C57"/>
    <mergeCell ref="A76:B77"/>
    <mergeCell ref="C76:C81"/>
    <mergeCell ref="C85:C90"/>
    <mergeCell ref="C94:C99"/>
    <mergeCell ref="U60:Y60"/>
    <mergeCell ref="AB60:AF60"/>
    <mergeCell ref="A11:B12"/>
    <mergeCell ref="C11:C17"/>
    <mergeCell ref="C19:C24"/>
    <mergeCell ref="C27:C31"/>
    <mergeCell ref="C33:C41"/>
    <mergeCell ref="U78:Y78"/>
    <mergeCell ref="U4:Y4"/>
    <mergeCell ref="AB4:AF4"/>
    <mergeCell ref="U21:Y21"/>
    <mergeCell ref="AB21:AF21"/>
    <mergeCell ref="U39:Y39"/>
    <mergeCell ref="AB39:AF3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180975</xdr:colOff>
                    <xdr:row>1</xdr:row>
                    <xdr:rowOff>95250</xdr:rowOff>
                  </from>
                  <to>
                    <xdr:col>1</xdr:col>
                    <xdr:colOff>638175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92D050"/>
  </sheetPr>
  <dimension ref="A1:S79"/>
  <sheetViews>
    <sheetView topLeftCell="A25" zoomScaleNormal="100" workbookViewId="0">
      <selection activeCell="G11" sqref="G11"/>
    </sheetView>
  </sheetViews>
  <sheetFormatPr defaultRowHeight="14.25"/>
  <cols>
    <col min="1" max="1" width="15.109375" customWidth="1"/>
    <col min="2" max="2" width="13.44140625" bestFit="1" customWidth="1"/>
    <col min="7" max="9" width="10" bestFit="1" customWidth="1"/>
    <col min="15" max="15" width="2.33203125" style="102" customWidth="1"/>
    <col min="16" max="16" width="13.77734375" bestFit="1" customWidth="1"/>
  </cols>
  <sheetData>
    <row r="1" spans="1:19" ht="15" thickBot="1">
      <c r="A1" s="88" t="s">
        <v>0</v>
      </c>
      <c r="B1" s="34" t="s">
        <v>219</v>
      </c>
      <c r="P1" s="97" t="s">
        <v>221</v>
      </c>
    </row>
    <row r="2" spans="1:19">
      <c r="A2" s="94" t="s">
        <v>84</v>
      </c>
      <c r="B2" s="48" t="s">
        <v>172</v>
      </c>
    </row>
    <row r="3" spans="1:19">
      <c r="A3" s="95" t="s">
        <v>220</v>
      </c>
    </row>
    <row r="4" spans="1:19">
      <c r="A4" s="95" t="s">
        <v>92</v>
      </c>
    </row>
    <row r="5" spans="1:19">
      <c r="A5" s="95"/>
    </row>
    <row r="6" spans="1:19">
      <c r="A6" s="95"/>
    </row>
    <row r="7" spans="1:19">
      <c r="A7" s="95"/>
    </row>
    <row r="8" spans="1:19">
      <c r="A8" s="95"/>
    </row>
    <row r="9" spans="1:19">
      <c r="A9" s="95"/>
    </row>
    <row r="10" spans="1:19">
      <c r="A10" s="95"/>
    </row>
    <row r="11" spans="1:19" ht="15" thickBot="1">
      <c r="A11" s="96"/>
    </row>
    <row r="13" spans="1:19">
      <c r="A13" s="50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P13" s="50"/>
      <c r="Q13" s="50"/>
      <c r="R13" s="50"/>
      <c r="S13" s="50"/>
    </row>
    <row r="14" spans="1:19">
      <c r="A14" s="50"/>
      <c r="B14" s="50"/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P14" s="50"/>
      <c r="Q14" s="50"/>
      <c r="R14" s="50"/>
      <c r="S14" s="50"/>
    </row>
    <row r="15" spans="1:19" ht="15" thickBot="1">
      <c r="A15" s="50"/>
      <c r="B15" s="50"/>
      <c r="C15" s="50"/>
      <c r="D15" s="82">
        <v>2011</v>
      </c>
      <c r="E15" s="82">
        <v>2012</v>
      </c>
      <c r="F15" s="82">
        <v>2013</v>
      </c>
      <c r="G15" s="82">
        <v>2014</v>
      </c>
      <c r="H15" s="82">
        <v>2015</v>
      </c>
      <c r="I15" s="82">
        <v>2016</v>
      </c>
      <c r="J15" s="82">
        <v>2017</v>
      </c>
      <c r="K15" s="82">
        <v>2018</v>
      </c>
      <c r="L15" s="82">
        <v>2019</v>
      </c>
      <c r="M15" s="82">
        <v>2020</v>
      </c>
      <c r="N15" s="50"/>
      <c r="P15" s="50"/>
      <c r="Q15" s="50"/>
      <c r="R15" s="50"/>
      <c r="S15" s="50"/>
    </row>
    <row r="16" spans="1:19">
      <c r="A16" s="50"/>
      <c r="B16" s="99" t="s">
        <v>58</v>
      </c>
      <c r="C16" s="88" t="str">
        <f t="shared" ref="C16:C18" si="0">IF(A2&lt;&gt;"",A2,"")</f>
        <v>PICC</v>
      </c>
      <c r="D16" s="83">
        <f ca="1">IFERROR(INDIRECT($C16&amp;"!F2"),"")</f>
        <v>0</v>
      </c>
      <c r="E16" s="83">
        <f ca="1">IFERROR(INDIRECT($C16&amp;"!G2"),"")</f>
        <v>0</v>
      </c>
      <c r="F16" s="83">
        <f ca="1">IFERROR(INDIRECT($C16&amp;"!H2"),"")</f>
        <v>0</v>
      </c>
      <c r="G16" s="83">
        <f ca="1">IFERROR(INDIRECT($C16&amp;"!I2"),"")</f>
        <v>0</v>
      </c>
      <c r="H16" s="83">
        <f ca="1">IFERROR(INDIRECT($C16&amp;"!J2"),"")</f>
        <v>281697916</v>
      </c>
      <c r="I16" s="83">
        <f ca="1">IFERROR(INDIRECT($C16&amp;"!K2"),"")</f>
        <v>311160427</v>
      </c>
      <c r="J16" s="83">
        <f ca="1">IFERROR(INDIRECT($C16&amp;"!L2"),"")</f>
        <v>0</v>
      </c>
      <c r="K16" s="83">
        <f ca="1">IFERROR(INDIRECT($C16&amp;"!M2"),"")</f>
        <v>0</v>
      </c>
      <c r="L16" s="83">
        <f ca="1">IFERROR(INDIRECT($C16&amp;"!N2"),"")</f>
        <v>0</v>
      </c>
      <c r="M16" s="84">
        <f ca="1">IFERROR(INDIRECT($C16&amp;"!O2"),"")</f>
        <v>0</v>
      </c>
      <c r="N16" s="50"/>
      <c r="P16" s="50"/>
      <c r="Q16" s="50"/>
      <c r="R16" s="50"/>
      <c r="S16" s="50"/>
    </row>
    <row r="17" spans="1:19">
      <c r="A17" s="50"/>
      <c r="B17" s="100"/>
      <c r="C17" s="89" t="str">
        <f t="shared" si="0"/>
        <v>PingAn</v>
      </c>
      <c r="D17" s="48">
        <f t="shared" ref="D17:D25" ca="1" si="1">IFERROR(INDIRECT($C17&amp;"!F2"),"")</f>
        <v>0</v>
      </c>
      <c r="E17" s="48">
        <f ca="1">IFERROR(INDIRECT($C17&amp;"!G2"),"")</f>
        <v>0</v>
      </c>
      <c r="F17" s="48">
        <f t="shared" ref="F17:F25" ca="1" si="2">IFERROR(INDIRECT($C17&amp;"!H2"),"")</f>
        <v>0</v>
      </c>
      <c r="G17" s="48">
        <f t="shared" ref="G17:G25" ca="1" si="3">IFERROR(INDIRECT($C17&amp;"!I2"),"")</f>
        <v>0</v>
      </c>
      <c r="H17" s="48">
        <f t="shared" ref="H17:H25" ca="1" si="4">IFERROR(INDIRECT($C17&amp;"!J2"),"")</f>
        <v>0</v>
      </c>
      <c r="I17" s="48">
        <f t="shared" ref="I17:I25" ca="1" si="5">IFERROR(INDIRECT($C17&amp;"!K2"),"")</f>
        <v>0</v>
      </c>
      <c r="J17" s="48">
        <f t="shared" ref="J17:J25" ca="1" si="6">IFERROR(INDIRECT($C17&amp;"!L2"),"")</f>
        <v>0</v>
      </c>
      <c r="K17" s="48">
        <f t="shared" ref="K17:K25" ca="1" si="7">IFERROR(INDIRECT($C17&amp;"!M2"),"")</f>
        <v>0</v>
      </c>
      <c r="L17" s="48">
        <f t="shared" ref="L17:L25" ca="1" si="8">IFERROR(INDIRECT($C17&amp;"!N2"),"")</f>
        <v>0</v>
      </c>
      <c r="M17" s="85">
        <f t="shared" ref="M17:M25" ca="1" si="9">IFERROR(INDIRECT($C17&amp;"!O2"),"")</f>
        <v>0</v>
      </c>
      <c r="N17" s="50"/>
      <c r="P17" s="50"/>
      <c r="Q17" s="50"/>
      <c r="R17" s="50"/>
      <c r="S17" s="50"/>
    </row>
    <row r="18" spans="1:19">
      <c r="A18" s="50"/>
      <c r="B18" s="100"/>
      <c r="C18" s="89" t="str">
        <f t="shared" si="0"/>
        <v>CPIC</v>
      </c>
      <c r="D18" s="48">
        <f t="shared" ca="1" si="1"/>
        <v>0</v>
      </c>
      <c r="E18" s="48">
        <f t="shared" ref="E18:E25" ca="1" si="10">IFERROR(INDIRECT($C18&amp;"!G2"),"")</f>
        <v>0</v>
      </c>
      <c r="F18" s="48">
        <f t="shared" ca="1" si="2"/>
        <v>0</v>
      </c>
      <c r="G18" s="48">
        <f t="shared" ca="1" si="3"/>
        <v>0</v>
      </c>
      <c r="H18" s="48">
        <f t="shared" ca="1" si="4"/>
        <v>0</v>
      </c>
      <c r="I18" s="48">
        <f t="shared" ca="1" si="5"/>
        <v>96195421</v>
      </c>
      <c r="J18" s="48">
        <f t="shared" ca="1" si="6"/>
        <v>0</v>
      </c>
      <c r="K18" s="48">
        <f t="shared" ca="1" si="7"/>
        <v>0</v>
      </c>
      <c r="L18" s="48">
        <f t="shared" ca="1" si="8"/>
        <v>0</v>
      </c>
      <c r="M18" s="85">
        <f t="shared" ca="1" si="9"/>
        <v>0</v>
      </c>
      <c r="N18" s="50"/>
      <c r="P18" s="50"/>
      <c r="Q18" s="50"/>
      <c r="R18" s="50"/>
      <c r="S18" s="50"/>
    </row>
    <row r="19" spans="1:19">
      <c r="A19" s="50"/>
      <c r="B19" s="100"/>
      <c r="C19" s="89" t="str">
        <f>IF(A5&lt;&gt;"",A5,"")</f>
        <v/>
      </c>
      <c r="D19" s="48" t="str">
        <f t="shared" ca="1" si="1"/>
        <v/>
      </c>
      <c r="E19" s="48" t="str">
        <f t="shared" ca="1" si="10"/>
        <v/>
      </c>
      <c r="F19" s="48" t="str">
        <f t="shared" ca="1" si="2"/>
        <v/>
      </c>
      <c r="G19" s="48" t="str">
        <f t="shared" ca="1" si="3"/>
        <v/>
      </c>
      <c r="H19" s="48" t="str">
        <f t="shared" ca="1" si="4"/>
        <v/>
      </c>
      <c r="I19" s="48" t="str">
        <f t="shared" ca="1" si="5"/>
        <v/>
      </c>
      <c r="J19" s="48" t="str">
        <f t="shared" ca="1" si="6"/>
        <v/>
      </c>
      <c r="K19" s="48" t="str">
        <f t="shared" ca="1" si="7"/>
        <v/>
      </c>
      <c r="L19" s="48" t="str">
        <f t="shared" ca="1" si="8"/>
        <v/>
      </c>
      <c r="M19" s="85" t="str">
        <f t="shared" ca="1" si="9"/>
        <v/>
      </c>
      <c r="N19" s="50"/>
      <c r="P19" s="50"/>
      <c r="Q19" s="50"/>
      <c r="R19" s="50"/>
      <c r="S19" s="50"/>
    </row>
    <row r="20" spans="1:19">
      <c r="A20" s="50"/>
      <c r="B20" s="100"/>
      <c r="C20" s="89" t="str">
        <f t="shared" ref="C20:C25" si="11">IF(A6&lt;&gt;"",A6,"")</f>
        <v/>
      </c>
      <c r="D20" s="48" t="str">
        <f t="shared" ca="1" si="1"/>
        <v/>
      </c>
      <c r="E20" s="48" t="str">
        <f t="shared" ca="1" si="10"/>
        <v/>
      </c>
      <c r="F20" s="48" t="str">
        <f t="shared" ca="1" si="2"/>
        <v/>
      </c>
      <c r="G20" s="48" t="str">
        <f t="shared" ca="1" si="3"/>
        <v/>
      </c>
      <c r="H20" s="48" t="str">
        <f t="shared" ca="1" si="4"/>
        <v/>
      </c>
      <c r="I20" s="48" t="str">
        <f t="shared" ca="1" si="5"/>
        <v/>
      </c>
      <c r="J20" s="48" t="str">
        <f t="shared" ca="1" si="6"/>
        <v/>
      </c>
      <c r="K20" s="48" t="str">
        <f t="shared" ca="1" si="7"/>
        <v/>
      </c>
      <c r="L20" s="48" t="str">
        <f t="shared" ca="1" si="8"/>
        <v/>
      </c>
      <c r="M20" s="85" t="str">
        <f t="shared" ca="1" si="9"/>
        <v/>
      </c>
      <c r="N20" s="50"/>
      <c r="P20" s="50"/>
      <c r="Q20" s="50"/>
      <c r="R20" s="50"/>
      <c r="S20" s="50"/>
    </row>
    <row r="21" spans="1:19">
      <c r="A21" s="50"/>
      <c r="B21" s="100"/>
      <c r="C21" s="89" t="str">
        <f t="shared" si="11"/>
        <v/>
      </c>
      <c r="D21" s="48" t="str">
        <f t="shared" ca="1" si="1"/>
        <v/>
      </c>
      <c r="E21" s="48" t="str">
        <f t="shared" ca="1" si="10"/>
        <v/>
      </c>
      <c r="F21" s="48" t="str">
        <f t="shared" ca="1" si="2"/>
        <v/>
      </c>
      <c r="G21" s="48" t="str">
        <f t="shared" ca="1" si="3"/>
        <v/>
      </c>
      <c r="H21" s="48" t="str">
        <f t="shared" ca="1" si="4"/>
        <v/>
      </c>
      <c r="I21" s="48" t="str">
        <f t="shared" ca="1" si="5"/>
        <v/>
      </c>
      <c r="J21" s="48" t="str">
        <f t="shared" ca="1" si="6"/>
        <v/>
      </c>
      <c r="K21" s="48" t="str">
        <f t="shared" ca="1" si="7"/>
        <v/>
      </c>
      <c r="L21" s="48" t="str">
        <f t="shared" ca="1" si="8"/>
        <v/>
      </c>
      <c r="M21" s="85" t="str">
        <f t="shared" ca="1" si="9"/>
        <v/>
      </c>
      <c r="N21" s="50"/>
      <c r="P21" s="50"/>
      <c r="Q21" s="50"/>
      <c r="R21" s="50"/>
      <c r="S21" s="50"/>
    </row>
    <row r="22" spans="1:19">
      <c r="A22" s="50"/>
      <c r="B22" s="100"/>
      <c r="C22" s="89" t="str">
        <f t="shared" si="11"/>
        <v/>
      </c>
      <c r="D22" s="48" t="str">
        <f t="shared" ca="1" si="1"/>
        <v/>
      </c>
      <c r="E22" s="48" t="str">
        <f t="shared" ca="1" si="10"/>
        <v/>
      </c>
      <c r="F22" s="48" t="str">
        <f t="shared" ca="1" si="2"/>
        <v/>
      </c>
      <c r="G22" s="48" t="str">
        <f t="shared" ca="1" si="3"/>
        <v/>
      </c>
      <c r="H22" s="48" t="str">
        <f t="shared" ca="1" si="4"/>
        <v/>
      </c>
      <c r="I22" s="48" t="str">
        <f t="shared" ca="1" si="5"/>
        <v/>
      </c>
      <c r="J22" s="48" t="str">
        <f t="shared" ca="1" si="6"/>
        <v/>
      </c>
      <c r="K22" s="48" t="str">
        <f t="shared" ca="1" si="7"/>
        <v/>
      </c>
      <c r="L22" s="48" t="str">
        <f t="shared" ca="1" si="8"/>
        <v/>
      </c>
      <c r="M22" s="85" t="str">
        <f t="shared" ca="1" si="9"/>
        <v/>
      </c>
      <c r="N22" s="50"/>
      <c r="P22" s="50"/>
      <c r="Q22" s="50"/>
      <c r="R22" s="50"/>
      <c r="S22" s="50"/>
    </row>
    <row r="23" spans="1:19">
      <c r="A23" s="50"/>
      <c r="B23" s="100"/>
      <c r="C23" s="89" t="str">
        <f t="shared" si="11"/>
        <v/>
      </c>
      <c r="D23" s="48" t="str">
        <f t="shared" ca="1" si="1"/>
        <v/>
      </c>
      <c r="E23" s="48" t="str">
        <f t="shared" ca="1" si="10"/>
        <v/>
      </c>
      <c r="F23" s="48" t="str">
        <f t="shared" ca="1" si="2"/>
        <v/>
      </c>
      <c r="G23" s="48" t="str">
        <f t="shared" ca="1" si="3"/>
        <v/>
      </c>
      <c r="H23" s="48" t="str">
        <f t="shared" ca="1" si="4"/>
        <v/>
      </c>
      <c r="I23" s="48" t="str">
        <f t="shared" ca="1" si="5"/>
        <v/>
      </c>
      <c r="J23" s="48" t="str">
        <f t="shared" ca="1" si="6"/>
        <v/>
      </c>
      <c r="K23" s="48" t="str">
        <f t="shared" ca="1" si="7"/>
        <v/>
      </c>
      <c r="L23" s="48" t="str">
        <f t="shared" ca="1" si="8"/>
        <v/>
      </c>
      <c r="M23" s="85" t="str">
        <f t="shared" ca="1" si="9"/>
        <v/>
      </c>
      <c r="N23" s="50"/>
      <c r="P23" s="50"/>
      <c r="Q23" s="50"/>
      <c r="R23" s="50"/>
      <c r="S23" s="50"/>
    </row>
    <row r="24" spans="1:19">
      <c r="A24" s="50"/>
      <c r="B24" s="100"/>
      <c r="C24" s="89" t="str">
        <f t="shared" si="11"/>
        <v/>
      </c>
      <c r="D24" s="48" t="str">
        <f t="shared" ca="1" si="1"/>
        <v/>
      </c>
      <c r="E24" s="48" t="str">
        <f t="shared" ca="1" si="10"/>
        <v/>
      </c>
      <c r="F24" s="48" t="str">
        <f t="shared" ca="1" si="2"/>
        <v/>
      </c>
      <c r="G24" s="48" t="str">
        <f t="shared" ca="1" si="3"/>
        <v/>
      </c>
      <c r="H24" s="48" t="str">
        <f t="shared" ca="1" si="4"/>
        <v/>
      </c>
      <c r="I24" s="48" t="str">
        <f t="shared" ca="1" si="5"/>
        <v/>
      </c>
      <c r="J24" s="48" t="str">
        <f t="shared" ca="1" si="6"/>
        <v/>
      </c>
      <c r="K24" s="48" t="str">
        <f t="shared" ca="1" si="7"/>
        <v/>
      </c>
      <c r="L24" s="48" t="str">
        <f t="shared" ca="1" si="8"/>
        <v/>
      </c>
      <c r="M24" s="85" t="str">
        <f t="shared" ca="1" si="9"/>
        <v/>
      </c>
      <c r="N24" s="50"/>
      <c r="P24" s="50"/>
      <c r="Q24" s="50"/>
      <c r="R24" s="50"/>
      <c r="S24" s="50"/>
    </row>
    <row r="25" spans="1:19" ht="15" thickBot="1">
      <c r="A25" s="50"/>
      <c r="B25" s="101"/>
      <c r="C25" s="90" t="str">
        <f t="shared" si="11"/>
        <v/>
      </c>
      <c r="D25" s="86" t="str">
        <f t="shared" ca="1" si="1"/>
        <v/>
      </c>
      <c r="E25" s="86" t="str">
        <f t="shared" ca="1" si="10"/>
        <v/>
      </c>
      <c r="F25" s="86" t="str">
        <f t="shared" ca="1" si="2"/>
        <v/>
      </c>
      <c r="G25" s="86" t="str">
        <f t="shared" ca="1" si="3"/>
        <v/>
      </c>
      <c r="H25" s="86" t="str">
        <f t="shared" ca="1" si="4"/>
        <v/>
      </c>
      <c r="I25" s="86" t="str">
        <f t="shared" ca="1" si="5"/>
        <v/>
      </c>
      <c r="J25" s="86" t="str">
        <f t="shared" ca="1" si="6"/>
        <v/>
      </c>
      <c r="K25" s="86" t="str">
        <f t="shared" ca="1" si="7"/>
        <v/>
      </c>
      <c r="L25" s="86" t="str">
        <f t="shared" ca="1" si="8"/>
        <v/>
      </c>
      <c r="M25" s="87" t="str">
        <f t="shared" ca="1" si="9"/>
        <v/>
      </c>
      <c r="N25" s="50"/>
      <c r="P25" s="50"/>
      <c r="Q25" s="50"/>
      <c r="R25" s="50"/>
      <c r="S25" s="50"/>
    </row>
    <row r="26" spans="1:19">
      <c r="A26" s="50"/>
      <c r="B26" s="99" t="s">
        <v>188</v>
      </c>
      <c r="C26" s="88" t="str">
        <f>IF(A2&lt;&gt;"",A2,"")</f>
        <v>PICC</v>
      </c>
      <c r="D26" s="83" t="str">
        <f ca="1">IFERROR(INDIRECT($C26&amp;"!F29"),"")</f>
        <v/>
      </c>
      <c r="E26" s="83" t="str">
        <f ca="1">IFERROR(INDIRECT($C26&amp;"!G29"),"")</f>
        <v/>
      </c>
      <c r="F26" s="83" t="str">
        <f ca="1">IFERROR(INDIRECT($C26&amp;"!H29"),"")</f>
        <v/>
      </c>
      <c r="G26" s="83" t="str">
        <f ca="1">IFERROR(INDIRECT($C26&amp;"!I29"),"")</f>
        <v/>
      </c>
      <c r="H26" s="83">
        <f ca="1">IFERROR(INDIRECT($C26&amp;"!J29"),"")</f>
        <v>0.62759934178875032</v>
      </c>
      <c r="I26" s="83">
        <f ca="1">IFERROR(INDIRECT($C26&amp;"!K29"),"")</f>
        <v>0.63493087002976367</v>
      </c>
      <c r="J26" s="83" t="str">
        <f ca="1">IFERROR(INDIRECT($C26&amp;"!L29"),"")</f>
        <v/>
      </c>
      <c r="K26" s="83" t="str">
        <f ca="1">IFERROR(INDIRECT($C26&amp;"!M29"),"")</f>
        <v/>
      </c>
      <c r="L26" s="83" t="str">
        <f ca="1">IFERROR(INDIRECT($C26&amp;"!N29"),"")</f>
        <v/>
      </c>
      <c r="M26" s="84" t="str">
        <f ca="1">IFERROR(INDIRECT($C26&amp;"!O29"),"")</f>
        <v/>
      </c>
      <c r="N26" s="50"/>
      <c r="P26" s="50"/>
      <c r="Q26" s="50"/>
      <c r="R26" s="50"/>
      <c r="S26" s="50"/>
    </row>
    <row r="27" spans="1:19">
      <c r="A27" s="50"/>
      <c r="B27" s="100"/>
      <c r="C27" s="89" t="str">
        <f t="shared" ref="C27:C35" si="12">IF(A3&lt;&gt;"",A3,"")</f>
        <v>PingAn</v>
      </c>
      <c r="D27" s="48" t="str">
        <f t="shared" ref="D27:D35" ca="1" si="13">IFERROR(INDIRECT($C27&amp;"!F29"),"")</f>
        <v/>
      </c>
      <c r="E27" s="48" t="str">
        <f t="shared" ref="E27:E35" ca="1" si="14">IFERROR(INDIRECT($C27&amp;"!G29"),"")</f>
        <v/>
      </c>
      <c r="F27" s="48" t="str">
        <f t="shared" ref="F27:F35" ca="1" si="15">IFERROR(INDIRECT($C27&amp;"!H29"),"")</f>
        <v/>
      </c>
      <c r="G27" s="48" t="str">
        <f t="shared" ref="G27:G35" ca="1" si="16">IFERROR(INDIRECT($C27&amp;"!I29"),"")</f>
        <v/>
      </c>
      <c r="H27" s="48" t="str">
        <f t="shared" ref="H27:H35" ca="1" si="17">IFERROR(INDIRECT($C27&amp;"!J29"),"")</f>
        <v/>
      </c>
      <c r="I27" s="48" t="str">
        <f t="shared" ref="I27:I35" ca="1" si="18">IFERROR(INDIRECT($C27&amp;"!K29"),"")</f>
        <v/>
      </c>
      <c r="J27" s="48" t="str">
        <f t="shared" ref="J27:J35" ca="1" si="19">IFERROR(INDIRECT($C27&amp;"!L29"),"")</f>
        <v/>
      </c>
      <c r="K27" s="48" t="str">
        <f t="shared" ref="K27:K35" ca="1" si="20">IFERROR(INDIRECT($C27&amp;"!M29"),"")</f>
        <v/>
      </c>
      <c r="L27" s="48" t="str">
        <f t="shared" ref="L27:L35" ca="1" si="21">IFERROR(INDIRECT($C27&amp;"!N29"),"")</f>
        <v/>
      </c>
      <c r="M27" s="85" t="str">
        <f t="shared" ref="M27:M35" ca="1" si="22">IFERROR(INDIRECT($C27&amp;"!O29"),"")</f>
        <v/>
      </c>
      <c r="N27" s="50"/>
      <c r="P27" s="50"/>
      <c r="Q27" s="50"/>
      <c r="R27" s="50"/>
      <c r="S27" s="50"/>
    </row>
    <row r="28" spans="1:19">
      <c r="A28" s="50"/>
      <c r="B28" s="100"/>
      <c r="C28" s="89" t="str">
        <f t="shared" si="12"/>
        <v>CPIC</v>
      </c>
      <c r="D28" s="48" t="str">
        <f t="shared" ca="1" si="13"/>
        <v/>
      </c>
      <c r="E28" s="48" t="str">
        <f t="shared" ca="1" si="14"/>
        <v/>
      </c>
      <c r="F28" s="48" t="str">
        <f t="shared" ca="1" si="15"/>
        <v/>
      </c>
      <c r="G28" s="48" t="str">
        <f t="shared" ca="1" si="16"/>
        <v/>
      </c>
      <c r="H28" s="48" t="str">
        <f t="shared" ca="1" si="17"/>
        <v/>
      </c>
      <c r="I28" s="48">
        <f t="shared" ca="1" si="18"/>
        <v>0.62711483660814749</v>
      </c>
      <c r="J28" s="48" t="str">
        <f t="shared" ca="1" si="19"/>
        <v/>
      </c>
      <c r="K28" s="48" t="str">
        <f t="shared" ca="1" si="20"/>
        <v/>
      </c>
      <c r="L28" s="48" t="str">
        <f t="shared" ca="1" si="21"/>
        <v/>
      </c>
      <c r="M28" s="85" t="str">
        <f t="shared" ca="1" si="22"/>
        <v/>
      </c>
      <c r="N28" s="50"/>
      <c r="P28" s="50"/>
      <c r="Q28" s="50"/>
      <c r="R28" s="50"/>
      <c r="S28" s="50"/>
    </row>
    <row r="29" spans="1:19">
      <c r="A29" s="50"/>
      <c r="B29" s="100"/>
      <c r="C29" s="89" t="str">
        <f t="shared" si="12"/>
        <v/>
      </c>
      <c r="D29" s="48" t="str">
        <f t="shared" ca="1" si="13"/>
        <v/>
      </c>
      <c r="E29" s="48" t="str">
        <f t="shared" ca="1" si="14"/>
        <v/>
      </c>
      <c r="F29" s="48" t="str">
        <f t="shared" ca="1" si="15"/>
        <v/>
      </c>
      <c r="G29" s="48" t="str">
        <f t="shared" ca="1" si="16"/>
        <v/>
      </c>
      <c r="H29" s="48" t="str">
        <f t="shared" ca="1" si="17"/>
        <v/>
      </c>
      <c r="I29" s="48" t="str">
        <f t="shared" ca="1" si="18"/>
        <v/>
      </c>
      <c r="J29" s="48" t="str">
        <f t="shared" ca="1" si="19"/>
        <v/>
      </c>
      <c r="K29" s="48" t="str">
        <f t="shared" ca="1" si="20"/>
        <v/>
      </c>
      <c r="L29" s="48" t="str">
        <f t="shared" ca="1" si="21"/>
        <v/>
      </c>
      <c r="M29" s="85" t="str">
        <f t="shared" ca="1" si="22"/>
        <v/>
      </c>
      <c r="N29" s="50"/>
      <c r="P29" s="50"/>
      <c r="Q29" s="50"/>
      <c r="R29" s="50"/>
      <c r="S29" s="50"/>
    </row>
    <row r="30" spans="1:19">
      <c r="A30" s="50"/>
      <c r="B30" s="100"/>
      <c r="C30" s="89" t="str">
        <f t="shared" si="12"/>
        <v/>
      </c>
      <c r="D30" s="48" t="str">
        <f t="shared" ca="1" si="13"/>
        <v/>
      </c>
      <c r="E30" s="48" t="str">
        <f t="shared" ca="1" si="14"/>
        <v/>
      </c>
      <c r="F30" s="48" t="str">
        <f t="shared" ca="1" si="15"/>
        <v/>
      </c>
      <c r="G30" s="48" t="str">
        <f t="shared" ca="1" si="16"/>
        <v/>
      </c>
      <c r="H30" s="48" t="str">
        <f t="shared" ca="1" si="17"/>
        <v/>
      </c>
      <c r="I30" s="48" t="str">
        <f t="shared" ca="1" si="18"/>
        <v/>
      </c>
      <c r="J30" s="48" t="str">
        <f t="shared" ca="1" si="19"/>
        <v/>
      </c>
      <c r="K30" s="48" t="str">
        <f t="shared" ca="1" si="20"/>
        <v/>
      </c>
      <c r="L30" s="48" t="str">
        <f t="shared" ca="1" si="21"/>
        <v/>
      </c>
      <c r="M30" s="85" t="str">
        <f t="shared" ca="1" si="22"/>
        <v/>
      </c>
      <c r="N30" s="50"/>
      <c r="P30" s="50"/>
      <c r="Q30" s="50"/>
      <c r="R30" s="50"/>
      <c r="S30" s="50"/>
    </row>
    <row r="31" spans="1:19">
      <c r="A31" s="50"/>
      <c r="B31" s="100"/>
      <c r="C31" s="89" t="str">
        <f t="shared" si="12"/>
        <v/>
      </c>
      <c r="D31" s="48" t="str">
        <f t="shared" ca="1" si="13"/>
        <v/>
      </c>
      <c r="E31" s="48" t="str">
        <f t="shared" ca="1" si="14"/>
        <v/>
      </c>
      <c r="F31" s="48" t="str">
        <f t="shared" ca="1" si="15"/>
        <v/>
      </c>
      <c r="G31" s="48" t="str">
        <f t="shared" ca="1" si="16"/>
        <v/>
      </c>
      <c r="H31" s="48" t="str">
        <f t="shared" ca="1" si="17"/>
        <v/>
      </c>
      <c r="I31" s="48" t="str">
        <f t="shared" ca="1" si="18"/>
        <v/>
      </c>
      <c r="J31" s="48" t="str">
        <f t="shared" ca="1" si="19"/>
        <v/>
      </c>
      <c r="K31" s="48" t="str">
        <f t="shared" ca="1" si="20"/>
        <v/>
      </c>
      <c r="L31" s="48" t="str">
        <f t="shared" ca="1" si="21"/>
        <v/>
      </c>
      <c r="M31" s="85" t="str">
        <f t="shared" ca="1" si="22"/>
        <v/>
      </c>
      <c r="N31" s="50"/>
      <c r="P31" s="50"/>
      <c r="Q31" s="50"/>
      <c r="R31" s="50"/>
      <c r="S31" s="50"/>
    </row>
    <row r="32" spans="1:19">
      <c r="A32" s="50"/>
      <c r="B32" s="100"/>
      <c r="C32" s="89" t="str">
        <f t="shared" si="12"/>
        <v/>
      </c>
      <c r="D32" s="48" t="str">
        <f t="shared" ca="1" si="13"/>
        <v/>
      </c>
      <c r="E32" s="48" t="str">
        <f t="shared" ca="1" si="14"/>
        <v/>
      </c>
      <c r="F32" s="48" t="str">
        <f t="shared" ca="1" si="15"/>
        <v/>
      </c>
      <c r="G32" s="48" t="str">
        <f t="shared" ca="1" si="16"/>
        <v/>
      </c>
      <c r="H32" s="48" t="str">
        <f t="shared" ca="1" si="17"/>
        <v/>
      </c>
      <c r="I32" s="48" t="str">
        <f t="shared" ca="1" si="18"/>
        <v/>
      </c>
      <c r="J32" s="48" t="str">
        <f t="shared" ca="1" si="19"/>
        <v/>
      </c>
      <c r="K32" s="48" t="str">
        <f t="shared" ca="1" si="20"/>
        <v/>
      </c>
      <c r="L32" s="48" t="str">
        <f t="shared" ca="1" si="21"/>
        <v/>
      </c>
      <c r="M32" s="85" t="str">
        <f t="shared" ca="1" si="22"/>
        <v/>
      </c>
      <c r="N32" s="50"/>
      <c r="P32" s="50"/>
      <c r="Q32" s="50"/>
      <c r="R32" s="50"/>
      <c r="S32" s="50"/>
    </row>
    <row r="33" spans="1:19">
      <c r="A33" s="50"/>
      <c r="B33" s="100"/>
      <c r="C33" s="89" t="str">
        <f t="shared" si="12"/>
        <v/>
      </c>
      <c r="D33" s="48" t="str">
        <f t="shared" ca="1" si="13"/>
        <v/>
      </c>
      <c r="E33" s="48" t="str">
        <f t="shared" ca="1" si="14"/>
        <v/>
      </c>
      <c r="F33" s="48" t="str">
        <f t="shared" ca="1" si="15"/>
        <v/>
      </c>
      <c r="G33" s="48" t="str">
        <f t="shared" ca="1" si="16"/>
        <v/>
      </c>
      <c r="H33" s="48" t="str">
        <f t="shared" ca="1" si="17"/>
        <v/>
      </c>
      <c r="I33" s="48" t="str">
        <f t="shared" ca="1" si="18"/>
        <v/>
      </c>
      <c r="J33" s="48" t="str">
        <f t="shared" ca="1" si="19"/>
        <v/>
      </c>
      <c r="K33" s="48" t="str">
        <f t="shared" ca="1" si="20"/>
        <v/>
      </c>
      <c r="L33" s="48" t="str">
        <f t="shared" ca="1" si="21"/>
        <v/>
      </c>
      <c r="M33" s="85" t="str">
        <f t="shared" ca="1" si="22"/>
        <v/>
      </c>
      <c r="N33" s="50"/>
      <c r="P33" s="50"/>
      <c r="Q33" s="50"/>
      <c r="R33" s="50"/>
      <c r="S33" s="50"/>
    </row>
    <row r="34" spans="1:19">
      <c r="A34" s="50"/>
      <c r="B34" s="100"/>
      <c r="C34" s="89" t="str">
        <f t="shared" si="12"/>
        <v/>
      </c>
      <c r="D34" s="48" t="str">
        <f t="shared" ca="1" si="13"/>
        <v/>
      </c>
      <c r="E34" s="48" t="str">
        <f t="shared" ca="1" si="14"/>
        <v/>
      </c>
      <c r="F34" s="48" t="str">
        <f t="shared" ca="1" si="15"/>
        <v/>
      </c>
      <c r="G34" s="48" t="str">
        <f t="shared" ca="1" si="16"/>
        <v/>
      </c>
      <c r="H34" s="48" t="str">
        <f t="shared" ca="1" si="17"/>
        <v/>
      </c>
      <c r="I34" s="48" t="str">
        <f t="shared" ca="1" si="18"/>
        <v/>
      </c>
      <c r="J34" s="48" t="str">
        <f t="shared" ca="1" si="19"/>
        <v/>
      </c>
      <c r="K34" s="48" t="str">
        <f t="shared" ca="1" si="20"/>
        <v/>
      </c>
      <c r="L34" s="48" t="str">
        <f t="shared" ca="1" si="21"/>
        <v/>
      </c>
      <c r="M34" s="85" t="str">
        <f t="shared" ca="1" si="22"/>
        <v/>
      </c>
      <c r="N34" s="50"/>
      <c r="P34" s="50"/>
      <c r="Q34" s="50"/>
      <c r="R34" s="50"/>
      <c r="S34" s="50"/>
    </row>
    <row r="35" spans="1:19" ht="15" thickBot="1">
      <c r="A35" s="50"/>
      <c r="B35" s="101"/>
      <c r="C35" s="90" t="str">
        <f t="shared" si="12"/>
        <v/>
      </c>
      <c r="D35" s="86" t="str">
        <f t="shared" ca="1" si="13"/>
        <v/>
      </c>
      <c r="E35" s="86" t="str">
        <f t="shared" ca="1" si="14"/>
        <v/>
      </c>
      <c r="F35" s="86" t="str">
        <f t="shared" ca="1" si="15"/>
        <v/>
      </c>
      <c r="G35" s="86" t="str">
        <f t="shared" ca="1" si="16"/>
        <v/>
      </c>
      <c r="H35" s="86" t="str">
        <f t="shared" ca="1" si="17"/>
        <v/>
      </c>
      <c r="I35" s="86" t="str">
        <f t="shared" ca="1" si="18"/>
        <v/>
      </c>
      <c r="J35" s="86" t="str">
        <f t="shared" ca="1" si="19"/>
        <v/>
      </c>
      <c r="K35" s="86" t="str">
        <f t="shared" ca="1" si="20"/>
        <v/>
      </c>
      <c r="L35" s="86" t="str">
        <f t="shared" ca="1" si="21"/>
        <v/>
      </c>
      <c r="M35" s="87" t="str">
        <f t="shared" ca="1" si="22"/>
        <v/>
      </c>
      <c r="N35" s="50"/>
      <c r="P35" s="50"/>
      <c r="Q35" s="50"/>
      <c r="R35" s="50"/>
      <c r="S35" s="50"/>
    </row>
    <row r="36" spans="1:19">
      <c r="A36" s="50"/>
      <c r="B36" s="99" t="s">
        <v>189</v>
      </c>
      <c r="C36" s="88" t="str">
        <f>IF(A2&lt;&gt;"",A2,"")</f>
        <v>PICC</v>
      </c>
      <c r="D36" s="83" t="str">
        <f ca="1">IFERROR(INDIRECT($C36&amp;"!F30"),"")</f>
        <v/>
      </c>
      <c r="E36" s="83" t="str">
        <f ca="1">IFERROR(INDIRECT($C36&amp;"!G30"),"")</f>
        <v/>
      </c>
      <c r="F36" s="83" t="str">
        <f ca="1">IFERROR(INDIRECT($C36&amp;"!H30"),"")</f>
        <v/>
      </c>
      <c r="G36" s="83" t="str">
        <f ca="1">IFERROR(INDIRECT($C36&amp;"!I30"),"")</f>
        <v/>
      </c>
      <c r="H36" s="83">
        <f ca="1">IFERROR(INDIRECT($C36&amp;"!J30"),"")</f>
        <v>0.33865473019899711</v>
      </c>
      <c r="I36" s="83">
        <f ca="1">IFERROR(INDIRECT($C36&amp;"!K30"),"")</f>
        <v>0.34760445313529736</v>
      </c>
      <c r="J36" s="83" t="str">
        <f ca="1">IFERROR(INDIRECT($C36&amp;"!L30"),"")</f>
        <v/>
      </c>
      <c r="K36" s="83" t="str">
        <f ca="1">IFERROR(INDIRECT($C36&amp;"!M30"),"")</f>
        <v/>
      </c>
      <c r="L36" s="83" t="str">
        <f ca="1">IFERROR(INDIRECT($C36&amp;"!N30"),"")</f>
        <v/>
      </c>
      <c r="M36" s="84" t="str">
        <f ca="1">IFERROR(INDIRECT($C36&amp;"!O30"),"")</f>
        <v/>
      </c>
      <c r="N36" s="50"/>
      <c r="P36" s="50"/>
      <c r="Q36" s="50"/>
      <c r="R36" s="50"/>
      <c r="S36" s="50"/>
    </row>
    <row r="37" spans="1:19">
      <c r="A37" s="50"/>
      <c r="B37" s="100"/>
      <c r="C37" s="89" t="str">
        <f t="shared" ref="C37:C45" si="23">IF(A3&lt;&gt;"",A3,"")</f>
        <v>PingAn</v>
      </c>
      <c r="D37" s="48" t="str">
        <f t="shared" ref="D37:D45" ca="1" si="24">IFERROR(INDIRECT($C37&amp;"!F30"),"")</f>
        <v/>
      </c>
      <c r="E37" s="48" t="str">
        <f t="shared" ref="E37:E45" ca="1" si="25">IFERROR(INDIRECT($C37&amp;"!G30"),"")</f>
        <v/>
      </c>
      <c r="F37" s="48" t="str">
        <f t="shared" ref="F37:F45" ca="1" si="26">IFERROR(INDIRECT($C37&amp;"!H30"),"")</f>
        <v/>
      </c>
      <c r="G37" s="48" t="str">
        <f t="shared" ref="G37:G45" ca="1" si="27">IFERROR(INDIRECT($C37&amp;"!I30"),"")</f>
        <v/>
      </c>
      <c r="H37" s="48" t="str">
        <f t="shared" ref="H37:H45" ca="1" si="28">IFERROR(INDIRECT($C37&amp;"!J30"),"")</f>
        <v/>
      </c>
      <c r="I37" s="48" t="str">
        <f t="shared" ref="I37:I45" ca="1" si="29">IFERROR(INDIRECT($C37&amp;"!K30"),"")</f>
        <v/>
      </c>
      <c r="J37" s="48" t="str">
        <f t="shared" ref="J37:J45" ca="1" si="30">IFERROR(INDIRECT($C37&amp;"!L30"),"")</f>
        <v/>
      </c>
      <c r="K37" s="48" t="str">
        <f t="shared" ref="K37:K45" ca="1" si="31">IFERROR(INDIRECT($C37&amp;"!M30"),"")</f>
        <v/>
      </c>
      <c r="L37" s="48" t="str">
        <f t="shared" ref="L37:L45" ca="1" si="32">IFERROR(INDIRECT($C37&amp;"!N30"),"")</f>
        <v/>
      </c>
      <c r="M37" s="85" t="str">
        <f t="shared" ref="M37:M45" ca="1" si="33">IFERROR(INDIRECT($C37&amp;"!O30"),"")</f>
        <v/>
      </c>
      <c r="N37" s="50"/>
      <c r="P37" s="50"/>
      <c r="Q37" s="50"/>
      <c r="R37" s="50"/>
      <c r="S37" s="50"/>
    </row>
    <row r="38" spans="1:19">
      <c r="A38" s="50"/>
      <c r="B38" s="100"/>
      <c r="C38" s="89" t="str">
        <f t="shared" si="23"/>
        <v>CPIC</v>
      </c>
      <c r="D38" s="48" t="str">
        <f t="shared" ca="1" si="24"/>
        <v/>
      </c>
      <c r="E38" s="48" t="str">
        <f t="shared" ca="1" si="25"/>
        <v/>
      </c>
      <c r="F38" s="48" t="str">
        <f t="shared" ca="1" si="26"/>
        <v/>
      </c>
      <c r="G38" s="48" t="str">
        <f t="shared" ca="1" si="27"/>
        <v/>
      </c>
      <c r="H38" s="48" t="str">
        <f t="shared" ca="1" si="28"/>
        <v/>
      </c>
      <c r="I38" s="48">
        <f t="shared" ca="1" si="29"/>
        <v>0.37885784074907386</v>
      </c>
      <c r="J38" s="48" t="str">
        <f t="shared" ca="1" si="30"/>
        <v/>
      </c>
      <c r="K38" s="48" t="str">
        <f t="shared" ca="1" si="31"/>
        <v/>
      </c>
      <c r="L38" s="48" t="str">
        <f t="shared" ca="1" si="32"/>
        <v/>
      </c>
      <c r="M38" s="85" t="str">
        <f t="shared" ca="1" si="33"/>
        <v/>
      </c>
      <c r="N38" s="50"/>
      <c r="P38" s="50"/>
      <c r="Q38" s="50"/>
      <c r="R38" s="50"/>
      <c r="S38" s="50"/>
    </row>
    <row r="39" spans="1:19">
      <c r="A39" s="50"/>
      <c r="B39" s="100"/>
      <c r="C39" s="89" t="str">
        <f t="shared" si="23"/>
        <v/>
      </c>
      <c r="D39" s="48" t="str">
        <f t="shared" ca="1" si="24"/>
        <v/>
      </c>
      <c r="E39" s="48" t="str">
        <f t="shared" ca="1" si="25"/>
        <v/>
      </c>
      <c r="F39" s="48" t="str">
        <f t="shared" ca="1" si="26"/>
        <v/>
      </c>
      <c r="G39" s="48" t="str">
        <f t="shared" ca="1" si="27"/>
        <v/>
      </c>
      <c r="H39" s="48" t="str">
        <f t="shared" ca="1" si="28"/>
        <v/>
      </c>
      <c r="I39" s="48" t="str">
        <f t="shared" ca="1" si="29"/>
        <v/>
      </c>
      <c r="J39" s="48" t="str">
        <f t="shared" ca="1" si="30"/>
        <v/>
      </c>
      <c r="K39" s="48" t="str">
        <f t="shared" ca="1" si="31"/>
        <v/>
      </c>
      <c r="L39" s="48" t="str">
        <f t="shared" ca="1" si="32"/>
        <v/>
      </c>
      <c r="M39" s="85" t="str">
        <f t="shared" ca="1" si="33"/>
        <v/>
      </c>
      <c r="N39" s="50"/>
      <c r="P39" s="50"/>
      <c r="Q39" s="50"/>
      <c r="R39" s="50"/>
      <c r="S39" s="50"/>
    </row>
    <row r="40" spans="1:19">
      <c r="A40" s="50"/>
      <c r="B40" s="100"/>
      <c r="C40" s="89" t="str">
        <f t="shared" si="23"/>
        <v/>
      </c>
      <c r="D40" s="48" t="str">
        <f t="shared" ca="1" si="24"/>
        <v/>
      </c>
      <c r="E40" s="48" t="str">
        <f t="shared" ca="1" si="25"/>
        <v/>
      </c>
      <c r="F40" s="48" t="str">
        <f t="shared" ca="1" si="26"/>
        <v/>
      </c>
      <c r="G40" s="48" t="str">
        <f t="shared" ca="1" si="27"/>
        <v/>
      </c>
      <c r="H40" s="48" t="str">
        <f t="shared" ca="1" si="28"/>
        <v/>
      </c>
      <c r="I40" s="48" t="str">
        <f t="shared" ca="1" si="29"/>
        <v/>
      </c>
      <c r="J40" s="48" t="str">
        <f t="shared" ca="1" si="30"/>
        <v/>
      </c>
      <c r="K40" s="48" t="str">
        <f t="shared" ca="1" si="31"/>
        <v/>
      </c>
      <c r="L40" s="48" t="str">
        <f t="shared" ca="1" si="32"/>
        <v/>
      </c>
      <c r="M40" s="85" t="str">
        <f t="shared" ca="1" si="33"/>
        <v/>
      </c>
      <c r="N40" s="50"/>
      <c r="P40" s="50"/>
      <c r="Q40" s="50"/>
      <c r="R40" s="50"/>
      <c r="S40" s="50"/>
    </row>
    <row r="41" spans="1:19">
      <c r="A41" s="50"/>
      <c r="B41" s="100"/>
      <c r="C41" s="89" t="str">
        <f t="shared" si="23"/>
        <v/>
      </c>
      <c r="D41" s="48" t="str">
        <f t="shared" ca="1" si="24"/>
        <v/>
      </c>
      <c r="E41" s="48" t="str">
        <f t="shared" ca="1" si="25"/>
        <v/>
      </c>
      <c r="F41" s="48" t="str">
        <f t="shared" ca="1" si="26"/>
        <v/>
      </c>
      <c r="G41" s="48" t="str">
        <f t="shared" ca="1" si="27"/>
        <v/>
      </c>
      <c r="H41" s="48" t="str">
        <f t="shared" ca="1" si="28"/>
        <v/>
      </c>
      <c r="I41" s="48" t="str">
        <f t="shared" ca="1" si="29"/>
        <v/>
      </c>
      <c r="J41" s="48" t="str">
        <f t="shared" ca="1" si="30"/>
        <v/>
      </c>
      <c r="K41" s="48" t="str">
        <f t="shared" ca="1" si="31"/>
        <v/>
      </c>
      <c r="L41" s="48" t="str">
        <f t="shared" ca="1" si="32"/>
        <v/>
      </c>
      <c r="M41" s="85" t="str">
        <f t="shared" ca="1" si="33"/>
        <v/>
      </c>
      <c r="N41" s="50"/>
      <c r="P41" s="50"/>
      <c r="Q41" s="50"/>
      <c r="R41" s="50"/>
      <c r="S41" s="50"/>
    </row>
    <row r="42" spans="1:19">
      <c r="A42" s="50"/>
      <c r="B42" s="100"/>
      <c r="C42" s="89" t="str">
        <f t="shared" si="23"/>
        <v/>
      </c>
      <c r="D42" s="48" t="str">
        <f t="shared" ca="1" si="24"/>
        <v/>
      </c>
      <c r="E42" s="48" t="str">
        <f t="shared" ca="1" si="25"/>
        <v/>
      </c>
      <c r="F42" s="48" t="str">
        <f t="shared" ca="1" si="26"/>
        <v/>
      </c>
      <c r="G42" s="48" t="str">
        <f t="shared" ca="1" si="27"/>
        <v/>
      </c>
      <c r="H42" s="48" t="str">
        <f t="shared" ca="1" si="28"/>
        <v/>
      </c>
      <c r="I42" s="48" t="str">
        <f t="shared" ca="1" si="29"/>
        <v/>
      </c>
      <c r="J42" s="48" t="str">
        <f t="shared" ca="1" si="30"/>
        <v/>
      </c>
      <c r="K42" s="48" t="str">
        <f t="shared" ca="1" si="31"/>
        <v/>
      </c>
      <c r="L42" s="48" t="str">
        <f t="shared" ca="1" si="32"/>
        <v/>
      </c>
      <c r="M42" s="85" t="str">
        <f t="shared" ca="1" si="33"/>
        <v/>
      </c>
      <c r="N42" s="50"/>
      <c r="P42" s="50"/>
      <c r="Q42" s="50"/>
      <c r="R42" s="50"/>
      <c r="S42" s="50"/>
    </row>
    <row r="43" spans="1:19">
      <c r="A43" s="50"/>
      <c r="B43" s="100"/>
      <c r="C43" s="89" t="str">
        <f t="shared" si="23"/>
        <v/>
      </c>
      <c r="D43" s="48" t="str">
        <f t="shared" ca="1" si="24"/>
        <v/>
      </c>
      <c r="E43" s="48" t="str">
        <f t="shared" ca="1" si="25"/>
        <v/>
      </c>
      <c r="F43" s="48" t="str">
        <f t="shared" ca="1" si="26"/>
        <v/>
      </c>
      <c r="G43" s="48" t="str">
        <f t="shared" ca="1" si="27"/>
        <v/>
      </c>
      <c r="H43" s="48" t="str">
        <f t="shared" ca="1" si="28"/>
        <v/>
      </c>
      <c r="I43" s="48" t="str">
        <f t="shared" ca="1" si="29"/>
        <v/>
      </c>
      <c r="J43" s="48" t="str">
        <f t="shared" ca="1" si="30"/>
        <v/>
      </c>
      <c r="K43" s="48" t="str">
        <f t="shared" ca="1" si="31"/>
        <v/>
      </c>
      <c r="L43" s="48" t="str">
        <f t="shared" ca="1" si="32"/>
        <v/>
      </c>
      <c r="M43" s="85" t="str">
        <f t="shared" ca="1" si="33"/>
        <v/>
      </c>
      <c r="N43" s="50"/>
      <c r="P43" s="50"/>
      <c r="Q43" s="50"/>
      <c r="R43" s="50"/>
      <c r="S43" s="50"/>
    </row>
    <row r="44" spans="1:19">
      <c r="A44" s="50"/>
      <c r="B44" s="100"/>
      <c r="C44" s="89" t="str">
        <f t="shared" si="23"/>
        <v/>
      </c>
      <c r="D44" s="48" t="str">
        <f t="shared" ca="1" si="24"/>
        <v/>
      </c>
      <c r="E44" s="48" t="str">
        <f t="shared" ca="1" si="25"/>
        <v/>
      </c>
      <c r="F44" s="48" t="str">
        <f t="shared" ca="1" si="26"/>
        <v/>
      </c>
      <c r="G44" s="48" t="str">
        <f t="shared" ca="1" si="27"/>
        <v/>
      </c>
      <c r="H44" s="48" t="str">
        <f t="shared" ca="1" si="28"/>
        <v/>
      </c>
      <c r="I44" s="48" t="str">
        <f t="shared" ca="1" si="29"/>
        <v/>
      </c>
      <c r="J44" s="48" t="str">
        <f t="shared" ca="1" si="30"/>
        <v/>
      </c>
      <c r="K44" s="48" t="str">
        <f t="shared" ca="1" si="31"/>
        <v/>
      </c>
      <c r="L44" s="48" t="str">
        <f t="shared" ca="1" si="32"/>
        <v/>
      </c>
      <c r="M44" s="85" t="str">
        <f t="shared" ca="1" si="33"/>
        <v/>
      </c>
      <c r="N44" s="50"/>
      <c r="P44" s="50"/>
      <c r="Q44" s="50"/>
      <c r="R44" s="50"/>
      <c r="S44" s="50"/>
    </row>
    <row r="45" spans="1:19" ht="15" thickBot="1">
      <c r="A45" s="50"/>
      <c r="B45" s="101"/>
      <c r="C45" s="90" t="str">
        <f t="shared" si="23"/>
        <v/>
      </c>
      <c r="D45" s="86" t="str">
        <f t="shared" ca="1" si="24"/>
        <v/>
      </c>
      <c r="E45" s="86" t="str">
        <f t="shared" ca="1" si="25"/>
        <v/>
      </c>
      <c r="F45" s="86" t="str">
        <f t="shared" ca="1" si="26"/>
        <v/>
      </c>
      <c r="G45" s="86" t="str">
        <f t="shared" ca="1" si="27"/>
        <v/>
      </c>
      <c r="H45" s="86" t="str">
        <f t="shared" ca="1" si="28"/>
        <v/>
      </c>
      <c r="I45" s="86" t="str">
        <f t="shared" ca="1" si="29"/>
        <v/>
      </c>
      <c r="J45" s="86" t="str">
        <f t="shared" ca="1" si="30"/>
        <v/>
      </c>
      <c r="K45" s="86" t="str">
        <f t="shared" ca="1" si="31"/>
        <v/>
      </c>
      <c r="L45" s="86" t="str">
        <f t="shared" ca="1" si="32"/>
        <v/>
      </c>
      <c r="M45" s="87" t="str">
        <f t="shared" ca="1" si="33"/>
        <v/>
      </c>
      <c r="N45" s="50"/>
      <c r="P45" s="50"/>
      <c r="Q45" s="50"/>
      <c r="R45" s="50"/>
      <c r="S45" s="50"/>
    </row>
    <row r="46" spans="1:19">
      <c r="A46" s="50"/>
      <c r="B46" s="99" t="s">
        <v>217</v>
      </c>
      <c r="C46" s="88" t="str">
        <f>IF(A2&lt;&gt;"",A2,"")</f>
        <v>PICC</v>
      </c>
      <c r="D46" s="83" t="str">
        <f ca="1">IFERROR(INDIRECT($C46&amp;"!F31"),"")</f>
        <v/>
      </c>
      <c r="E46" s="83" t="str">
        <f ca="1">IFERROR(INDIRECT($C46&amp;"!G31"),"")</f>
        <v/>
      </c>
      <c r="F46" s="83" t="str">
        <f ca="1">IFERROR(INDIRECT($C46&amp;"!H31"),"")</f>
        <v/>
      </c>
      <c r="G46" s="83" t="str">
        <f ca="1">IFERROR(INDIRECT($C46&amp;"!i31"),"")</f>
        <v/>
      </c>
      <c r="H46" s="83">
        <f ca="1">IFERROR(INDIRECT($C46&amp;"!j31"),"")</f>
        <v>0.96625407198774749</v>
      </c>
      <c r="I46" s="83">
        <f ca="1">IFERROR(INDIRECT($C46&amp;"!K31"),"")</f>
        <v>0.98253532316506109</v>
      </c>
      <c r="J46" s="83" t="str">
        <f ca="1">IFERROR(INDIRECT($C46&amp;"!L31"),"")</f>
        <v/>
      </c>
      <c r="K46" s="83" t="str">
        <f ca="1">IFERROR(INDIRECT($C46&amp;"!M31"),"")</f>
        <v/>
      </c>
      <c r="L46" s="83" t="str">
        <f ca="1">IFERROR(INDIRECT($C46&amp;"!N31"),"")</f>
        <v/>
      </c>
      <c r="M46" s="84" t="str">
        <f ca="1">IFERROR(INDIRECT($C46&amp;"!O31"),"")</f>
        <v/>
      </c>
      <c r="N46" s="50"/>
      <c r="P46" s="50"/>
      <c r="Q46" s="50"/>
      <c r="R46" s="50"/>
      <c r="S46" s="50"/>
    </row>
    <row r="47" spans="1:19">
      <c r="A47" s="50"/>
      <c r="B47" s="100"/>
      <c r="C47" s="89" t="str">
        <f t="shared" ref="C47:C55" si="34">IF(A3&lt;&gt;"",A3,"")</f>
        <v>PingAn</v>
      </c>
      <c r="D47" s="48" t="str">
        <f t="shared" ref="D47:D55" ca="1" si="35">IFERROR(INDIRECT($C47&amp;"!F31"),"")</f>
        <v/>
      </c>
      <c r="E47" s="48" t="str">
        <f t="shared" ref="E47:E55" ca="1" si="36">IFERROR(INDIRECT($C47&amp;"!G31"),"")</f>
        <v/>
      </c>
      <c r="F47" s="48" t="str">
        <f t="shared" ref="F47:F55" ca="1" si="37">IFERROR(INDIRECT($C47&amp;"!H31"),"")</f>
        <v/>
      </c>
      <c r="G47" s="48" t="str">
        <f t="shared" ref="G47:G55" ca="1" si="38">IFERROR(INDIRECT($C47&amp;"!i31"),"")</f>
        <v/>
      </c>
      <c r="H47" s="48" t="str">
        <f t="shared" ref="H47:H55" ca="1" si="39">IFERROR(INDIRECT($C47&amp;"!j31"),"")</f>
        <v/>
      </c>
      <c r="I47" s="48" t="str">
        <f t="shared" ref="I47:I55" ca="1" si="40">IFERROR(INDIRECT($C47&amp;"!K31"),"")</f>
        <v/>
      </c>
      <c r="J47" s="48" t="str">
        <f t="shared" ref="J47:J55" ca="1" si="41">IFERROR(INDIRECT($C47&amp;"!L31"),"")</f>
        <v/>
      </c>
      <c r="K47" s="48" t="str">
        <f t="shared" ref="K47:K55" ca="1" si="42">IFERROR(INDIRECT($C47&amp;"!M31"),"")</f>
        <v/>
      </c>
      <c r="L47" s="48" t="str">
        <f t="shared" ref="L47:L55" ca="1" si="43">IFERROR(INDIRECT($C47&amp;"!N31"),"")</f>
        <v/>
      </c>
      <c r="M47" s="85" t="str">
        <f t="shared" ref="M47:M55" ca="1" si="44">IFERROR(INDIRECT($C47&amp;"!O31"),"")</f>
        <v/>
      </c>
      <c r="N47" s="50"/>
      <c r="P47" s="50"/>
      <c r="Q47" s="50"/>
      <c r="R47" s="50"/>
      <c r="S47" s="50"/>
    </row>
    <row r="48" spans="1:19">
      <c r="A48" s="50"/>
      <c r="B48" s="100"/>
      <c r="C48" s="89" t="str">
        <f t="shared" si="34"/>
        <v>CPIC</v>
      </c>
      <c r="D48" s="48" t="str">
        <f t="shared" ca="1" si="35"/>
        <v/>
      </c>
      <c r="E48" s="48" t="str">
        <f t="shared" ca="1" si="36"/>
        <v/>
      </c>
      <c r="F48" s="48" t="str">
        <f t="shared" ca="1" si="37"/>
        <v/>
      </c>
      <c r="G48" s="48" t="str">
        <f t="shared" ca="1" si="38"/>
        <v/>
      </c>
      <c r="H48" s="48" t="str">
        <f t="shared" ca="1" si="39"/>
        <v/>
      </c>
      <c r="I48" s="48">
        <f t="shared" ca="1" si="40"/>
        <v>1.0059726773572213</v>
      </c>
      <c r="J48" s="48" t="str">
        <f t="shared" ca="1" si="41"/>
        <v/>
      </c>
      <c r="K48" s="48" t="str">
        <f t="shared" ca="1" si="42"/>
        <v/>
      </c>
      <c r="L48" s="48" t="str">
        <f t="shared" ca="1" si="43"/>
        <v/>
      </c>
      <c r="M48" s="85" t="str">
        <f t="shared" ca="1" si="44"/>
        <v/>
      </c>
      <c r="N48" s="50"/>
      <c r="P48" s="50"/>
      <c r="Q48" s="50"/>
      <c r="R48" s="50"/>
      <c r="S48" s="50"/>
    </row>
    <row r="49" spans="1:19">
      <c r="A49" s="50"/>
      <c r="B49" s="100"/>
      <c r="C49" s="89" t="str">
        <f t="shared" si="34"/>
        <v/>
      </c>
      <c r="D49" s="48" t="str">
        <f t="shared" ca="1" si="35"/>
        <v/>
      </c>
      <c r="E49" s="48" t="str">
        <f t="shared" ca="1" si="36"/>
        <v/>
      </c>
      <c r="F49" s="48" t="str">
        <f t="shared" ca="1" si="37"/>
        <v/>
      </c>
      <c r="G49" s="48" t="str">
        <f t="shared" ca="1" si="38"/>
        <v/>
      </c>
      <c r="H49" s="48" t="str">
        <f t="shared" ca="1" si="39"/>
        <v/>
      </c>
      <c r="I49" s="48" t="str">
        <f t="shared" ca="1" si="40"/>
        <v/>
      </c>
      <c r="J49" s="48" t="str">
        <f t="shared" ca="1" si="41"/>
        <v/>
      </c>
      <c r="K49" s="48" t="str">
        <f t="shared" ca="1" si="42"/>
        <v/>
      </c>
      <c r="L49" s="48" t="str">
        <f t="shared" ca="1" si="43"/>
        <v/>
      </c>
      <c r="M49" s="85" t="str">
        <f t="shared" ca="1" si="44"/>
        <v/>
      </c>
      <c r="N49" s="50"/>
      <c r="P49" s="50"/>
      <c r="Q49" s="50"/>
      <c r="R49" s="50"/>
      <c r="S49" s="50"/>
    </row>
    <row r="50" spans="1:19">
      <c r="A50" s="50"/>
      <c r="B50" s="100"/>
      <c r="C50" s="89" t="str">
        <f t="shared" si="34"/>
        <v/>
      </c>
      <c r="D50" s="48" t="str">
        <f t="shared" ca="1" si="35"/>
        <v/>
      </c>
      <c r="E50" s="48" t="str">
        <f t="shared" ca="1" si="36"/>
        <v/>
      </c>
      <c r="F50" s="48" t="str">
        <f t="shared" ca="1" si="37"/>
        <v/>
      </c>
      <c r="G50" s="48" t="str">
        <f t="shared" ca="1" si="38"/>
        <v/>
      </c>
      <c r="H50" s="48" t="str">
        <f t="shared" ca="1" si="39"/>
        <v/>
      </c>
      <c r="I50" s="48" t="str">
        <f t="shared" ca="1" si="40"/>
        <v/>
      </c>
      <c r="J50" s="48" t="str">
        <f t="shared" ca="1" si="41"/>
        <v/>
      </c>
      <c r="K50" s="48" t="str">
        <f t="shared" ca="1" si="42"/>
        <v/>
      </c>
      <c r="L50" s="48" t="str">
        <f t="shared" ca="1" si="43"/>
        <v/>
      </c>
      <c r="M50" s="85" t="str">
        <f t="shared" ca="1" si="44"/>
        <v/>
      </c>
      <c r="N50" s="50"/>
      <c r="P50" s="50"/>
      <c r="Q50" s="50"/>
      <c r="R50" s="50"/>
      <c r="S50" s="50"/>
    </row>
    <row r="51" spans="1:19">
      <c r="A51" s="50"/>
      <c r="B51" s="100"/>
      <c r="C51" s="89" t="str">
        <f t="shared" si="34"/>
        <v/>
      </c>
      <c r="D51" s="48" t="str">
        <f t="shared" ca="1" si="35"/>
        <v/>
      </c>
      <c r="E51" s="48" t="str">
        <f t="shared" ca="1" si="36"/>
        <v/>
      </c>
      <c r="F51" s="48" t="str">
        <f t="shared" ca="1" si="37"/>
        <v/>
      </c>
      <c r="G51" s="48" t="str">
        <f t="shared" ca="1" si="38"/>
        <v/>
      </c>
      <c r="H51" s="48" t="str">
        <f t="shared" ca="1" si="39"/>
        <v/>
      </c>
      <c r="I51" s="48" t="str">
        <f t="shared" ca="1" si="40"/>
        <v/>
      </c>
      <c r="J51" s="48" t="str">
        <f t="shared" ca="1" si="41"/>
        <v/>
      </c>
      <c r="K51" s="48" t="str">
        <f t="shared" ca="1" si="42"/>
        <v/>
      </c>
      <c r="L51" s="48" t="str">
        <f t="shared" ca="1" si="43"/>
        <v/>
      </c>
      <c r="M51" s="85" t="str">
        <f t="shared" ca="1" si="44"/>
        <v/>
      </c>
      <c r="N51" s="50"/>
      <c r="P51" s="50"/>
      <c r="Q51" s="50"/>
      <c r="R51" s="50"/>
      <c r="S51" s="50"/>
    </row>
    <row r="52" spans="1:19">
      <c r="A52" s="50"/>
      <c r="B52" s="100"/>
      <c r="C52" s="89" t="str">
        <f t="shared" si="34"/>
        <v/>
      </c>
      <c r="D52" s="48" t="str">
        <f t="shared" ca="1" si="35"/>
        <v/>
      </c>
      <c r="E52" s="48" t="str">
        <f t="shared" ca="1" si="36"/>
        <v/>
      </c>
      <c r="F52" s="48" t="str">
        <f t="shared" ca="1" si="37"/>
        <v/>
      </c>
      <c r="G52" s="48" t="str">
        <f t="shared" ca="1" si="38"/>
        <v/>
      </c>
      <c r="H52" s="48" t="str">
        <f t="shared" ca="1" si="39"/>
        <v/>
      </c>
      <c r="I52" s="48" t="str">
        <f t="shared" ca="1" si="40"/>
        <v/>
      </c>
      <c r="J52" s="48" t="str">
        <f t="shared" ca="1" si="41"/>
        <v/>
      </c>
      <c r="K52" s="48" t="str">
        <f t="shared" ca="1" si="42"/>
        <v/>
      </c>
      <c r="L52" s="48" t="str">
        <f t="shared" ca="1" si="43"/>
        <v/>
      </c>
      <c r="M52" s="85" t="str">
        <f t="shared" ca="1" si="44"/>
        <v/>
      </c>
      <c r="N52" s="50"/>
      <c r="P52" s="50"/>
      <c r="Q52" s="50"/>
      <c r="R52" s="50"/>
      <c r="S52" s="50"/>
    </row>
    <row r="53" spans="1:19">
      <c r="A53" s="50"/>
      <c r="B53" s="100"/>
      <c r="C53" s="89" t="str">
        <f t="shared" si="34"/>
        <v/>
      </c>
      <c r="D53" s="48" t="str">
        <f t="shared" ca="1" si="35"/>
        <v/>
      </c>
      <c r="E53" s="48" t="str">
        <f t="shared" ca="1" si="36"/>
        <v/>
      </c>
      <c r="F53" s="48" t="str">
        <f t="shared" ca="1" si="37"/>
        <v/>
      </c>
      <c r="G53" s="48" t="str">
        <f t="shared" ca="1" si="38"/>
        <v/>
      </c>
      <c r="H53" s="48" t="str">
        <f t="shared" ca="1" si="39"/>
        <v/>
      </c>
      <c r="I53" s="48" t="str">
        <f t="shared" ca="1" si="40"/>
        <v/>
      </c>
      <c r="J53" s="48" t="str">
        <f t="shared" ca="1" si="41"/>
        <v/>
      </c>
      <c r="K53" s="48" t="str">
        <f t="shared" ca="1" si="42"/>
        <v/>
      </c>
      <c r="L53" s="48" t="str">
        <f t="shared" ca="1" si="43"/>
        <v/>
      </c>
      <c r="M53" s="85" t="str">
        <f t="shared" ca="1" si="44"/>
        <v/>
      </c>
      <c r="N53" s="50"/>
      <c r="P53" s="50"/>
      <c r="Q53" s="50"/>
      <c r="R53" s="50"/>
      <c r="S53" s="50"/>
    </row>
    <row r="54" spans="1:19">
      <c r="A54" s="50"/>
      <c r="B54" s="100"/>
      <c r="C54" s="89" t="str">
        <f t="shared" si="34"/>
        <v/>
      </c>
      <c r="D54" s="48" t="str">
        <f t="shared" ca="1" si="35"/>
        <v/>
      </c>
      <c r="E54" s="48" t="str">
        <f t="shared" ca="1" si="36"/>
        <v/>
      </c>
      <c r="F54" s="48" t="str">
        <f t="shared" ca="1" si="37"/>
        <v/>
      </c>
      <c r="G54" s="48" t="str">
        <f t="shared" ca="1" si="38"/>
        <v/>
      </c>
      <c r="H54" s="48" t="str">
        <f t="shared" ca="1" si="39"/>
        <v/>
      </c>
      <c r="I54" s="48" t="str">
        <f t="shared" ca="1" si="40"/>
        <v/>
      </c>
      <c r="J54" s="48" t="str">
        <f t="shared" ca="1" si="41"/>
        <v/>
      </c>
      <c r="K54" s="48" t="str">
        <f t="shared" ca="1" si="42"/>
        <v/>
      </c>
      <c r="L54" s="48" t="str">
        <f t="shared" ca="1" si="43"/>
        <v/>
      </c>
      <c r="M54" s="85" t="str">
        <f t="shared" ca="1" si="44"/>
        <v/>
      </c>
      <c r="N54" s="50"/>
      <c r="P54" s="50"/>
      <c r="Q54" s="50"/>
      <c r="R54" s="50"/>
      <c r="S54" s="50"/>
    </row>
    <row r="55" spans="1:19" ht="15" thickBot="1">
      <c r="A55" s="50"/>
      <c r="B55" s="101"/>
      <c r="C55" s="90" t="str">
        <f t="shared" si="34"/>
        <v/>
      </c>
      <c r="D55" s="86" t="str">
        <f t="shared" ca="1" si="35"/>
        <v/>
      </c>
      <c r="E55" s="86" t="str">
        <f t="shared" ca="1" si="36"/>
        <v/>
      </c>
      <c r="F55" s="86" t="str">
        <f t="shared" ca="1" si="37"/>
        <v/>
      </c>
      <c r="G55" s="86" t="str">
        <f t="shared" ca="1" si="38"/>
        <v/>
      </c>
      <c r="H55" s="86" t="str">
        <f t="shared" ca="1" si="39"/>
        <v/>
      </c>
      <c r="I55" s="86" t="str">
        <f t="shared" ca="1" si="40"/>
        <v/>
      </c>
      <c r="J55" s="86" t="str">
        <f t="shared" ca="1" si="41"/>
        <v/>
      </c>
      <c r="K55" s="86" t="str">
        <f t="shared" ca="1" si="42"/>
        <v/>
      </c>
      <c r="L55" s="86" t="str">
        <f t="shared" ca="1" si="43"/>
        <v/>
      </c>
      <c r="M55" s="87" t="str">
        <f t="shared" ca="1" si="44"/>
        <v/>
      </c>
      <c r="N55" s="50"/>
      <c r="P55" s="50"/>
      <c r="Q55" s="50"/>
      <c r="R55" s="50"/>
      <c r="S55" s="50"/>
    </row>
    <row r="56" spans="1:19">
      <c r="A56" s="50"/>
      <c r="B56" s="99" t="s">
        <v>218</v>
      </c>
      <c r="C56" s="88" t="str">
        <f>IF(A2&lt;&gt;"",A2,"")</f>
        <v>PICC</v>
      </c>
      <c r="D56" s="83">
        <f ca="1">IFERROR(INDIRECT($C56&amp;"!F62"),"")</f>
        <v>0</v>
      </c>
      <c r="E56" s="83">
        <f ca="1">IFERROR(INDIRECT($C56&amp;"!G62"),"")</f>
        <v>0</v>
      </c>
      <c r="F56" s="83">
        <f ca="1">IFERROR(INDIRECT($C56&amp;"!H62"),"")</f>
        <v>0</v>
      </c>
      <c r="G56" s="83">
        <f ca="1">IFERROR(INDIRECT($C56&amp;"!I62"),"")</f>
        <v>0</v>
      </c>
      <c r="H56" s="83">
        <f ca="1">IFERROR(INDIRECT($C56&amp;"!J62"),"")</f>
        <v>21300311</v>
      </c>
      <c r="I56" s="83">
        <f ca="1">IFERROR(INDIRECT($C56&amp;"!K62"),"")</f>
        <v>18098269</v>
      </c>
      <c r="J56" s="83">
        <f ca="1">IFERROR(INDIRECT($C56&amp;"!l62"),"")</f>
        <v>0</v>
      </c>
      <c r="K56" s="83">
        <f ca="1">IFERROR(INDIRECT($C56&amp;"!m62"),"")</f>
        <v>0</v>
      </c>
      <c r="L56" s="83">
        <f ca="1">IFERROR(INDIRECT($C56&amp;"!N62"),"")</f>
        <v>0</v>
      </c>
      <c r="M56" s="84">
        <f ca="1">IFERROR(INDIRECT($C56&amp;"!O62"),"")</f>
        <v>0</v>
      </c>
      <c r="N56" s="50"/>
      <c r="P56" s="50"/>
      <c r="Q56" s="50"/>
      <c r="R56" s="50"/>
      <c r="S56" s="50"/>
    </row>
    <row r="57" spans="1:19">
      <c r="A57" s="50"/>
      <c r="B57" s="100"/>
      <c r="C57" s="89" t="str">
        <f t="shared" ref="C57:C65" si="45">IF(A3&lt;&gt;"",A3,"")</f>
        <v>PingAn</v>
      </c>
      <c r="D57" s="48">
        <f t="shared" ref="D57:D65" ca="1" si="46">IFERROR(INDIRECT($C57&amp;"!F62"),"")</f>
        <v>0</v>
      </c>
      <c r="E57" s="48">
        <f t="shared" ref="E57:E65" ca="1" si="47">IFERROR(INDIRECT($C57&amp;"!G62"),"")</f>
        <v>0</v>
      </c>
      <c r="F57" s="48">
        <f t="shared" ref="F57:F65" ca="1" si="48">IFERROR(INDIRECT($C57&amp;"!H62"),"")</f>
        <v>0</v>
      </c>
      <c r="G57" s="48">
        <f t="shared" ref="G57:G65" ca="1" si="49">IFERROR(INDIRECT($C57&amp;"!I62"),"")</f>
        <v>0</v>
      </c>
      <c r="H57" s="48">
        <f t="shared" ref="H57:H65" ca="1" si="50">IFERROR(INDIRECT($C57&amp;"!J62"),"")</f>
        <v>0</v>
      </c>
      <c r="I57" s="48">
        <f t="shared" ref="I57:I65" ca="1" si="51">IFERROR(INDIRECT($C57&amp;"!K62"),"")</f>
        <v>0</v>
      </c>
      <c r="J57" s="48">
        <f t="shared" ref="J57:J65" ca="1" si="52">IFERROR(INDIRECT($C57&amp;"!l62"),"")</f>
        <v>0</v>
      </c>
      <c r="K57" s="48">
        <f t="shared" ref="K57:K65" ca="1" si="53">IFERROR(INDIRECT($C57&amp;"!m62"),"")</f>
        <v>0</v>
      </c>
      <c r="L57" s="48">
        <f t="shared" ref="L57:L65" ca="1" si="54">IFERROR(INDIRECT($C57&amp;"!N62"),"")</f>
        <v>0</v>
      </c>
      <c r="M57" s="85">
        <f t="shared" ref="M57:M65" ca="1" si="55">IFERROR(INDIRECT($C57&amp;"!O62"),"")</f>
        <v>0</v>
      </c>
      <c r="N57" s="50"/>
      <c r="P57" s="50"/>
      <c r="Q57" s="50"/>
      <c r="R57" s="50"/>
      <c r="S57" s="50"/>
    </row>
    <row r="58" spans="1:19">
      <c r="A58" s="50"/>
      <c r="B58" s="100"/>
      <c r="C58" s="89" t="str">
        <f t="shared" si="45"/>
        <v>CPIC</v>
      </c>
      <c r="D58" s="48">
        <f t="shared" ca="1" si="46"/>
        <v>0</v>
      </c>
      <c r="E58" s="48">
        <f t="shared" ca="1" si="47"/>
        <v>0</v>
      </c>
      <c r="F58" s="48">
        <f t="shared" ca="1" si="48"/>
        <v>0</v>
      </c>
      <c r="G58" s="48">
        <f t="shared" ca="1" si="49"/>
        <v>0</v>
      </c>
      <c r="H58" s="48">
        <f t="shared" ca="1" si="50"/>
        <v>0</v>
      </c>
      <c r="I58" s="48">
        <f t="shared" ca="1" si="51"/>
        <v>4540074</v>
      </c>
      <c r="J58" s="48">
        <f t="shared" ca="1" si="52"/>
        <v>0</v>
      </c>
      <c r="K58" s="48">
        <f t="shared" ca="1" si="53"/>
        <v>0</v>
      </c>
      <c r="L58" s="48">
        <f t="shared" ca="1" si="54"/>
        <v>0</v>
      </c>
      <c r="M58" s="85">
        <f t="shared" ca="1" si="55"/>
        <v>0</v>
      </c>
      <c r="N58" s="50"/>
      <c r="P58" s="50"/>
      <c r="Q58" s="50"/>
      <c r="R58" s="50"/>
      <c r="S58" s="50"/>
    </row>
    <row r="59" spans="1:19">
      <c r="A59" s="50"/>
      <c r="B59" s="100"/>
      <c r="C59" s="89" t="str">
        <f t="shared" si="45"/>
        <v/>
      </c>
      <c r="D59" s="48" t="str">
        <f t="shared" ca="1" si="46"/>
        <v/>
      </c>
      <c r="E59" s="48" t="str">
        <f t="shared" ca="1" si="47"/>
        <v/>
      </c>
      <c r="F59" s="48" t="str">
        <f t="shared" ca="1" si="48"/>
        <v/>
      </c>
      <c r="G59" s="48" t="str">
        <f t="shared" ca="1" si="49"/>
        <v/>
      </c>
      <c r="H59" s="48" t="str">
        <f t="shared" ca="1" si="50"/>
        <v/>
      </c>
      <c r="I59" s="48" t="str">
        <f t="shared" ca="1" si="51"/>
        <v/>
      </c>
      <c r="J59" s="48" t="str">
        <f t="shared" ca="1" si="52"/>
        <v/>
      </c>
      <c r="K59" s="48" t="str">
        <f t="shared" ca="1" si="53"/>
        <v/>
      </c>
      <c r="L59" s="48" t="str">
        <f t="shared" ca="1" si="54"/>
        <v/>
      </c>
      <c r="M59" s="85" t="str">
        <f t="shared" ca="1" si="55"/>
        <v/>
      </c>
      <c r="N59" s="50"/>
      <c r="P59" s="50"/>
      <c r="Q59" s="50"/>
      <c r="R59" s="50"/>
      <c r="S59" s="50"/>
    </row>
    <row r="60" spans="1:19">
      <c r="A60" s="50"/>
      <c r="B60" s="100"/>
      <c r="C60" s="89" t="str">
        <f t="shared" si="45"/>
        <v/>
      </c>
      <c r="D60" s="48" t="str">
        <f t="shared" ca="1" si="46"/>
        <v/>
      </c>
      <c r="E60" s="48" t="str">
        <f t="shared" ca="1" si="47"/>
        <v/>
      </c>
      <c r="F60" s="48" t="str">
        <f t="shared" ca="1" si="48"/>
        <v/>
      </c>
      <c r="G60" s="48" t="str">
        <f t="shared" ca="1" si="49"/>
        <v/>
      </c>
      <c r="H60" s="48" t="str">
        <f t="shared" ca="1" si="50"/>
        <v/>
      </c>
      <c r="I60" s="48" t="str">
        <f t="shared" ca="1" si="51"/>
        <v/>
      </c>
      <c r="J60" s="48" t="str">
        <f t="shared" ca="1" si="52"/>
        <v/>
      </c>
      <c r="K60" s="48" t="str">
        <f t="shared" ca="1" si="53"/>
        <v/>
      </c>
      <c r="L60" s="48" t="str">
        <f t="shared" ca="1" si="54"/>
        <v/>
      </c>
      <c r="M60" s="85" t="str">
        <f t="shared" ca="1" si="55"/>
        <v/>
      </c>
      <c r="N60" s="50"/>
      <c r="P60" s="50"/>
      <c r="Q60" s="50"/>
      <c r="R60" s="50"/>
      <c r="S60" s="50"/>
    </row>
    <row r="61" spans="1:19">
      <c r="A61" s="50"/>
      <c r="B61" s="100"/>
      <c r="C61" s="89" t="str">
        <f t="shared" si="45"/>
        <v/>
      </c>
      <c r="D61" s="48" t="str">
        <f t="shared" ca="1" si="46"/>
        <v/>
      </c>
      <c r="E61" s="48" t="str">
        <f t="shared" ca="1" si="47"/>
        <v/>
      </c>
      <c r="F61" s="48" t="str">
        <f t="shared" ca="1" si="48"/>
        <v/>
      </c>
      <c r="G61" s="48" t="str">
        <f t="shared" ca="1" si="49"/>
        <v/>
      </c>
      <c r="H61" s="48" t="str">
        <f t="shared" ca="1" si="50"/>
        <v/>
      </c>
      <c r="I61" s="48" t="str">
        <f t="shared" ca="1" si="51"/>
        <v/>
      </c>
      <c r="J61" s="48" t="str">
        <f t="shared" ca="1" si="52"/>
        <v/>
      </c>
      <c r="K61" s="48" t="str">
        <f t="shared" ca="1" si="53"/>
        <v/>
      </c>
      <c r="L61" s="48" t="str">
        <f t="shared" ca="1" si="54"/>
        <v/>
      </c>
      <c r="M61" s="85" t="str">
        <f t="shared" ca="1" si="55"/>
        <v/>
      </c>
      <c r="N61" s="50"/>
      <c r="P61" s="50"/>
      <c r="Q61" s="50"/>
      <c r="R61" s="50"/>
      <c r="S61" s="50"/>
    </row>
    <row r="62" spans="1:19">
      <c r="A62" s="50"/>
      <c r="B62" s="100"/>
      <c r="C62" s="89" t="str">
        <f t="shared" si="45"/>
        <v/>
      </c>
      <c r="D62" s="48" t="str">
        <f t="shared" ca="1" si="46"/>
        <v/>
      </c>
      <c r="E62" s="48" t="str">
        <f t="shared" ca="1" si="47"/>
        <v/>
      </c>
      <c r="F62" s="48" t="str">
        <f t="shared" ca="1" si="48"/>
        <v/>
      </c>
      <c r="G62" s="48" t="str">
        <f t="shared" ca="1" si="49"/>
        <v/>
      </c>
      <c r="H62" s="48" t="str">
        <f t="shared" ca="1" si="50"/>
        <v/>
      </c>
      <c r="I62" s="48" t="str">
        <f t="shared" ca="1" si="51"/>
        <v/>
      </c>
      <c r="J62" s="48" t="str">
        <f t="shared" ca="1" si="52"/>
        <v/>
      </c>
      <c r="K62" s="48" t="str">
        <f t="shared" ca="1" si="53"/>
        <v/>
      </c>
      <c r="L62" s="48" t="str">
        <f t="shared" ca="1" si="54"/>
        <v/>
      </c>
      <c r="M62" s="85" t="str">
        <f t="shared" ca="1" si="55"/>
        <v/>
      </c>
      <c r="N62" s="50"/>
      <c r="P62" s="50"/>
      <c r="Q62" s="50"/>
      <c r="R62" s="50"/>
      <c r="S62" s="50"/>
    </row>
    <row r="63" spans="1:19">
      <c r="A63" s="50"/>
      <c r="B63" s="100"/>
      <c r="C63" s="89" t="str">
        <f t="shared" si="45"/>
        <v/>
      </c>
      <c r="D63" s="48" t="str">
        <f t="shared" ca="1" si="46"/>
        <v/>
      </c>
      <c r="E63" s="48" t="str">
        <f t="shared" ca="1" si="47"/>
        <v/>
      </c>
      <c r="F63" s="48" t="str">
        <f t="shared" ca="1" si="48"/>
        <v/>
      </c>
      <c r="G63" s="48" t="str">
        <f t="shared" ca="1" si="49"/>
        <v/>
      </c>
      <c r="H63" s="48" t="str">
        <f t="shared" ca="1" si="50"/>
        <v/>
      </c>
      <c r="I63" s="48" t="str">
        <f t="shared" ca="1" si="51"/>
        <v/>
      </c>
      <c r="J63" s="48" t="str">
        <f t="shared" ca="1" si="52"/>
        <v/>
      </c>
      <c r="K63" s="48" t="str">
        <f t="shared" ca="1" si="53"/>
        <v/>
      </c>
      <c r="L63" s="48" t="str">
        <f t="shared" ca="1" si="54"/>
        <v/>
      </c>
      <c r="M63" s="85" t="str">
        <f t="shared" ca="1" si="55"/>
        <v/>
      </c>
      <c r="N63" s="50"/>
      <c r="P63" s="50"/>
      <c r="Q63" s="50"/>
      <c r="R63" s="50"/>
      <c r="S63" s="50"/>
    </row>
    <row r="64" spans="1:19">
      <c r="A64" s="50"/>
      <c r="B64" s="100"/>
      <c r="C64" s="89" t="str">
        <f t="shared" si="45"/>
        <v/>
      </c>
      <c r="D64" s="48" t="str">
        <f t="shared" ca="1" si="46"/>
        <v/>
      </c>
      <c r="E64" s="48" t="str">
        <f t="shared" ca="1" si="47"/>
        <v/>
      </c>
      <c r="F64" s="48" t="str">
        <f t="shared" ca="1" si="48"/>
        <v/>
      </c>
      <c r="G64" s="48" t="str">
        <f t="shared" ca="1" si="49"/>
        <v/>
      </c>
      <c r="H64" s="48" t="str">
        <f t="shared" ca="1" si="50"/>
        <v/>
      </c>
      <c r="I64" s="48" t="str">
        <f t="shared" ca="1" si="51"/>
        <v/>
      </c>
      <c r="J64" s="48" t="str">
        <f t="shared" ca="1" si="52"/>
        <v/>
      </c>
      <c r="K64" s="48" t="str">
        <f t="shared" ca="1" si="53"/>
        <v/>
      </c>
      <c r="L64" s="48" t="str">
        <f t="shared" ca="1" si="54"/>
        <v/>
      </c>
      <c r="M64" s="85" t="str">
        <f t="shared" ca="1" si="55"/>
        <v/>
      </c>
      <c r="N64" s="50"/>
      <c r="P64" s="50"/>
      <c r="Q64" s="50"/>
      <c r="R64" s="50"/>
      <c r="S64" s="50"/>
    </row>
    <row r="65" spans="1:19" ht="15" thickBot="1">
      <c r="A65" s="50"/>
      <c r="B65" s="101"/>
      <c r="C65" s="90" t="str">
        <f t="shared" si="45"/>
        <v/>
      </c>
      <c r="D65" s="86" t="str">
        <f t="shared" ca="1" si="46"/>
        <v/>
      </c>
      <c r="E65" s="86" t="str">
        <f t="shared" ca="1" si="47"/>
        <v/>
      </c>
      <c r="F65" s="86" t="str">
        <f t="shared" ca="1" si="48"/>
        <v/>
      </c>
      <c r="G65" s="86" t="str">
        <f t="shared" ca="1" si="49"/>
        <v/>
      </c>
      <c r="H65" s="86" t="str">
        <f t="shared" ca="1" si="50"/>
        <v/>
      </c>
      <c r="I65" s="86" t="str">
        <f t="shared" ca="1" si="51"/>
        <v/>
      </c>
      <c r="J65" s="86" t="str">
        <f t="shared" ca="1" si="52"/>
        <v/>
      </c>
      <c r="K65" s="86" t="str">
        <f t="shared" ca="1" si="53"/>
        <v/>
      </c>
      <c r="L65" s="86" t="str">
        <f t="shared" ca="1" si="54"/>
        <v/>
      </c>
      <c r="M65" s="87" t="str">
        <f t="shared" ca="1" si="55"/>
        <v/>
      </c>
      <c r="N65" s="50"/>
      <c r="P65" s="50"/>
      <c r="Q65" s="50"/>
      <c r="R65" s="50"/>
      <c r="S65" s="50"/>
    </row>
    <row r="66" spans="1:19">
      <c r="A66" s="50"/>
      <c r="B66" s="99" t="s">
        <v>56</v>
      </c>
      <c r="C66" s="88" t="str">
        <f>IF(A2&lt;&gt;"",A2,"")</f>
        <v>PICC</v>
      </c>
      <c r="D66" s="83" t="str">
        <f ca="1">IFERROR(INDIRECT($C66&amp;"!F63"),"")</f>
        <v/>
      </c>
      <c r="E66" s="83" t="str">
        <f ca="1">IFERROR(INDIRECT($C66&amp;"!G63"),"")</f>
        <v/>
      </c>
      <c r="F66" s="83" t="str">
        <f ca="1">IFERROR(INDIRECT($C66&amp;"!H63"),"")</f>
        <v/>
      </c>
      <c r="G66" s="83" t="str">
        <f ca="1">IFERROR(INDIRECT($C66&amp;"!I63"),"")</f>
        <v/>
      </c>
      <c r="H66" s="83">
        <f ca="1">IFERROR(INDIRECT($C66&amp;"!J63"),"")</f>
        <v>0.19733626612124583</v>
      </c>
      <c r="I66" s="83">
        <f ca="1">IFERROR(INDIRECT($C66&amp;"!K63"),"")</f>
        <v>0.15288630317560525</v>
      </c>
      <c r="J66" s="83" t="str">
        <f ca="1">IFERROR(INDIRECT($C66&amp;"!L63"),"")</f>
        <v/>
      </c>
      <c r="K66" s="83" t="str">
        <f ca="1">IFERROR(INDIRECT($C66&amp;"!M63"),"")</f>
        <v/>
      </c>
      <c r="L66" s="83" t="str">
        <f ca="1">IFERROR(INDIRECT($C66&amp;"!N63"),"")</f>
        <v/>
      </c>
      <c r="M66" s="84" t="str">
        <f ca="1">IFERROR(INDIRECT($C66&amp;"!O63"),"")</f>
        <v/>
      </c>
      <c r="N66" s="50"/>
      <c r="P66" s="50"/>
      <c r="Q66" s="50"/>
      <c r="R66" s="50"/>
      <c r="S66" s="50"/>
    </row>
    <row r="67" spans="1:19">
      <c r="A67" s="50"/>
      <c r="B67" s="100"/>
      <c r="C67" s="89" t="str">
        <f t="shared" ref="C67:C75" si="56">IF(A3&lt;&gt;"",A3,"")</f>
        <v>PingAn</v>
      </c>
      <c r="D67" s="48" t="str">
        <f t="shared" ref="D67:D75" ca="1" si="57">IFERROR(INDIRECT($C67&amp;"!F63"),"")</f>
        <v/>
      </c>
      <c r="E67" s="48" t="str">
        <f t="shared" ref="E67:E75" ca="1" si="58">IFERROR(INDIRECT($C67&amp;"!G63"),"")</f>
        <v/>
      </c>
      <c r="F67" s="48" t="str">
        <f t="shared" ref="F67:F75" ca="1" si="59">IFERROR(INDIRECT($C67&amp;"!H63"),"")</f>
        <v/>
      </c>
      <c r="G67" s="48" t="str">
        <f t="shared" ref="G67:G75" ca="1" si="60">IFERROR(INDIRECT($C67&amp;"!I63"),"")</f>
        <v/>
      </c>
      <c r="H67" s="48" t="str">
        <f t="shared" ref="H67:H75" ca="1" si="61">IFERROR(INDIRECT($C67&amp;"!J63"),"")</f>
        <v/>
      </c>
      <c r="I67" s="48" t="str">
        <f t="shared" ref="I67:I75" ca="1" si="62">IFERROR(INDIRECT($C67&amp;"!K63"),"")</f>
        <v/>
      </c>
      <c r="J67" s="48" t="str">
        <f t="shared" ref="J67:J75" ca="1" si="63">IFERROR(INDIRECT($C67&amp;"!L63"),"")</f>
        <v/>
      </c>
      <c r="K67" s="48" t="str">
        <f t="shared" ref="K67:K75" ca="1" si="64">IFERROR(INDIRECT($C67&amp;"!M63"),"")</f>
        <v/>
      </c>
      <c r="L67" s="48" t="str">
        <f t="shared" ref="L67:L75" ca="1" si="65">IFERROR(INDIRECT($C67&amp;"!N63"),"")</f>
        <v/>
      </c>
      <c r="M67" s="85" t="str">
        <f t="shared" ref="M67:M75" ca="1" si="66">IFERROR(INDIRECT($C67&amp;"!O63"),"")</f>
        <v/>
      </c>
      <c r="N67" s="50"/>
      <c r="P67" s="50"/>
      <c r="Q67" s="50"/>
      <c r="R67" s="50"/>
      <c r="S67" s="50"/>
    </row>
    <row r="68" spans="1:19">
      <c r="A68" s="50"/>
      <c r="B68" s="100"/>
      <c r="C68" s="89" t="str">
        <f t="shared" si="56"/>
        <v>CPIC</v>
      </c>
      <c r="D68" s="48" t="str">
        <f t="shared" ca="1" si="57"/>
        <v/>
      </c>
      <c r="E68" s="48" t="str">
        <f t="shared" ca="1" si="58"/>
        <v/>
      </c>
      <c r="F68" s="48" t="str">
        <f t="shared" ca="1" si="59"/>
        <v/>
      </c>
      <c r="G68" s="48" t="str">
        <f t="shared" ca="1" si="60"/>
        <v/>
      </c>
      <c r="H68" s="48" t="str">
        <f t="shared" ca="1" si="61"/>
        <v/>
      </c>
      <c r="I68" s="48">
        <f t="shared" ca="1" si="62"/>
        <v>0.12883102534232385</v>
      </c>
      <c r="J68" s="48" t="str">
        <f t="shared" ca="1" si="63"/>
        <v/>
      </c>
      <c r="K68" s="48" t="str">
        <f t="shared" ca="1" si="64"/>
        <v/>
      </c>
      <c r="L68" s="48" t="str">
        <f t="shared" ca="1" si="65"/>
        <v/>
      </c>
      <c r="M68" s="85" t="str">
        <f t="shared" ca="1" si="66"/>
        <v/>
      </c>
      <c r="N68" s="50"/>
      <c r="P68" s="50"/>
      <c r="Q68" s="50"/>
      <c r="R68" s="50"/>
      <c r="S68" s="50"/>
    </row>
    <row r="69" spans="1:19">
      <c r="A69" s="50"/>
      <c r="B69" s="100"/>
      <c r="C69" s="89" t="str">
        <f t="shared" si="56"/>
        <v/>
      </c>
      <c r="D69" s="48" t="str">
        <f t="shared" ca="1" si="57"/>
        <v/>
      </c>
      <c r="E69" s="48" t="str">
        <f t="shared" ca="1" si="58"/>
        <v/>
      </c>
      <c r="F69" s="48" t="str">
        <f t="shared" ca="1" si="59"/>
        <v/>
      </c>
      <c r="G69" s="48" t="str">
        <f t="shared" ca="1" si="60"/>
        <v/>
      </c>
      <c r="H69" s="48" t="str">
        <f t="shared" ca="1" si="61"/>
        <v/>
      </c>
      <c r="I69" s="48" t="str">
        <f t="shared" ca="1" si="62"/>
        <v/>
      </c>
      <c r="J69" s="48" t="str">
        <f t="shared" ca="1" si="63"/>
        <v/>
      </c>
      <c r="K69" s="48" t="str">
        <f t="shared" ca="1" si="64"/>
        <v/>
      </c>
      <c r="L69" s="48" t="str">
        <f t="shared" ca="1" si="65"/>
        <v/>
      </c>
      <c r="M69" s="85" t="str">
        <f t="shared" ca="1" si="66"/>
        <v/>
      </c>
      <c r="N69" s="50"/>
      <c r="P69" s="50"/>
      <c r="Q69" s="50"/>
      <c r="R69" s="50"/>
      <c r="S69" s="50"/>
    </row>
    <row r="70" spans="1:19">
      <c r="A70" s="50"/>
      <c r="B70" s="100"/>
      <c r="C70" s="89" t="str">
        <f t="shared" si="56"/>
        <v/>
      </c>
      <c r="D70" s="48" t="str">
        <f t="shared" ca="1" si="57"/>
        <v/>
      </c>
      <c r="E70" s="48" t="str">
        <f t="shared" ca="1" si="58"/>
        <v/>
      </c>
      <c r="F70" s="48" t="str">
        <f t="shared" ca="1" si="59"/>
        <v/>
      </c>
      <c r="G70" s="48" t="str">
        <f t="shared" ca="1" si="60"/>
        <v/>
      </c>
      <c r="H70" s="48" t="str">
        <f t="shared" ca="1" si="61"/>
        <v/>
      </c>
      <c r="I70" s="48" t="str">
        <f t="shared" ca="1" si="62"/>
        <v/>
      </c>
      <c r="J70" s="48" t="str">
        <f t="shared" ca="1" si="63"/>
        <v/>
      </c>
      <c r="K70" s="48" t="str">
        <f t="shared" ca="1" si="64"/>
        <v/>
      </c>
      <c r="L70" s="48" t="str">
        <f t="shared" ca="1" si="65"/>
        <v/>
      </c>
      <c r="M70" s="85" t="str">
        <f t="shared" ca="1" si="66"/>
        <v/>
      </c>
      <c r="N70" s="50"/>
      <c r="P70" s="50"/>
      <c r="Q70" s="50"/>
      <c r="R70" s="50"/>
      <c r="S70" s="50"/>
    </row>
    <row r="71" spans="1:19">
      <c r="A71" s="50"/>
      <c r="B71" s="100"/>
      <c r="C71" s="89" t="str">
        <f t="shared" si="56"/>
        <v/>
      </c>
      <c r="D71" s="48" t="str">
        <f t="shared" ca="1" si="57"/>
        <v/>
      </c>
      <c r="E71" s="48" t="str">
        <f t="shared" ca="1" si="58"/>
        <v/>
      </c>
      <c r="F71" s="48" t="str">
        <f t="shared" ca="1" si="59"/>
        <v/>
      </c>
      <c r="G71" s="48" t="str">
        <f t="shared" ca="1" si="60"/>
        <v/>
      </c>
      <c r="H71" s="48" t="str">
        <f t="shared" ca="1" si="61"/>
        <v/>
      </c>
      <c r="I71" s="48" t="str">
        <f t="shared" ca="1" si="62"/>
        <v/>
      </c>
      <c r="J71" s="48" t="str">
        <f t="shared" ca="1" si="63"/>
        <v/>
      </c>
      <c r="K71" s="48" t="str">
        <f t="shared" ca="1" si="64"/>
        <v/>
      </c>
      <c r="L71" s="48" t="str">
        <f t="shared" ca="1" si="65"/>
        <v/>
      </c>
      <c r="M71" s="85" t="str">
        <f t="shared" ca="1" si="66"/>
        <v/>
      </c>
      <c r="N71" s="50"/>
      <c r="P71" s="50"/>
      <c r="Q71" s="50"/>
      <c r="R71" s="50"/>
      <c r="S71" s="50"/>
    </row>
    <row r="72" spans="1:19">
      <c r="A72" s="50"/>
      <c r="B72" s="100"/>
      <c r="C72" s="89" t="str">
        <f t="shared" si="56"/>
        <v/>
      </c>
      <c r="D72" s="48" t="str">
        <f t="shared" ca="1" si="57"/>
        <v/>
      </c>
      <c r="E72" s="48" t="str">
        <f t="shared" ca="1" si="58"/>
        <v/>
      </c>
      <c r="F72" s="48" t="str">
        <f t="shared" ca="1" si="59"/>
        <v/>
      </c>
      <c r="G72" s="48" t="str">
        <f t="shared" ca="1" si="60"/>
        <v/>
      </c>
      <c r="H72" s="48" t="str">
        <f t="shared" ca="1" si="61"/>
        <v/>
      </c>
      <c r="I72" s="48" t="str">
        <f t="shared" ca="1" si="62"/>
        <v/>
      </c>
      <c r="J72" s="48" t="str">
        <f t="shared" ca="1" si="63"/>
        <v/>
      </c>
      <c r="K72" s="48" t="str">
        <f t="shared" ca="1" si="64"/>
        <v/>
      </c>
      <c r="L72" s="48" t="str">
        <f t="shared" ca="1" si="65"/>
        <v/>
      </c>
      <c r="M72" s="85" t="str">
        <f t="shared" ca="1" si="66"/>
        <v/>
      </c>
      <c r="N72" s="50"/>
      <c r="P72" s="50"/>
      <c r="Q72" s="50"/>
      <c r="R72" s="50"/>
      <c r="S72" s="50"/>
    </row>
    <row r="73" spans="1:19">
      <c r="A73" s="50"/>
      <c r="B73" s="100"/>
      <c r="C73" s="89" t="str">
        <f t="shared" si="56"/>
        <v/>
      </c>
      <c r="D73" s="48" t="str">
        <f t="shared" ca="1" si="57"/>
        <v/>
      </c>
      <c r="E73" s="48" t="str">
        <f t="shared" ca="1" si="58"/>
        <v/>
      </c>
      <c r="F73" s="48" t="str">
        <f t="shared" ca="1" si="59"/>
        <v/>
      </c>
      <c r="G73" s="48" t="str">
        <f t="shared" ca="1" si="60"/>
        <v/>
      </c>
      <c r="H73" s="48" t="str">
        <f t="shared" ca="1" si="61"/>
        <v/>
      </c>
      <c r="I73" s="48" t="str">
        <f t="shared" ca="1" si="62"/>
        <v/>
      </c>
      <c r="J73" s="48" t="str">
        <f t="shared" ca="1" si="63"/>
        <v/>
      </c>
      <c r="K73" s="48" t="str">
        <f t="shared" ca="1" si="64"/>
        <v/>
      </c>
      <c r="L73" s="48" t="str">
        <f t="shared" ca="1" si="65"/>
        <v/>
      </c>
      <c r="M73" s="85" t="str">
        <f t="shared" ca="1" si="66"/>
        <v/>
      </c>
      <c r="N73" s="50"/>
      <c r="P73" s="50"/>
      <c r="Q73" s="50"/>
      <c r="R73" s="50"/>
      <c r="S73" s="50"/>
    </row>
    <row r="74" spans="1:19">
      <c r="A74" s="50"/>
      <c r="B74" s="100"/>
      <c r="C74" s="89" t="str">
        <f t="shared" si="56"/>
        <v/>
      </c>
      <c r="D74" s="48" t="str">
        <f t="shared" ca="1" si="57"/>
        <v/>
      </c>
      <c r="E74" s="48" t="str">
        <f t="shared" ca="1" si="58"/>
        <v/>
      </c>
      <c r="F74" s="48" t="str">
        <f t="shared" ca="1" si="59"/>
        <v/>
      </c>
      <c r="G74" s="48" t="str">
        <f t="shared" ca="1" si="60"/>
        <v/>
      </c>
      <c r="H74" s="48" t="str">
        <f t="shared" ca="1" si="61"/>
        <v/>
      </c>
      <c r="I74" s="48" t="str">
        <f t="shared" ca="1" si="62"/>
        <v/>
      </c>
      <c r="J74" s="48" t="str">
        <f t="shared" ca="1" si="63"/>
        <v/>
      </c>
      <c r="K74" s="48" t="str">
        <f t="shared" ca="1" si="64"/>
        <v/>
      </c>
      <c r="L74" s="48" t="str">
        <f t="shared" ca="1" si="65"/>
        <v/>
      </c>
      <c r="M74" s="85" t="str">
        <f t="shared" ca="1" si="66"/>
        <v/>
      </c>
      <c r="N74" s="50"/>
      <c r="P74" s="50"/>
      <c r="Q74" s="50"/>
      <c r="R74" s="50"/>
      <c r="S74" s="50"/>
    </row>
    <row r="75" spans="1:19" ht="15" thickBot="1">
      <c r="A75" s="50"/>
      <c r="B75" s="101"/>
      <c r="C75" s="90" t="str">
        <f t="shared" si="56"/>
        <v/>
      </c>
      <c r="D75" s="86" t="str">
        <f t="shared" ca="1" si="57"/>
        <v/>
      </c>
      <c r="E75" s="86" t="str">
        <f t="shared" ca="1" si="58"/>
        <v/>
      </c>
      <c r="F75" s="86" t="str">
        <f t="shared" ca="1" si="59"/>
        <v/>
      </c>
      <c r="G75" s="86" t="str">
        <f t="shared" ca="1" si="60"/>
        <v/>
      </c>
      <c r="H75" s="86" t="str">
        <f t="shared" ca="1" si="61"/>
        <v/>
      </c>
      <c r="I75" s="86" t="str">
        <f t="shared" ca="1" si="62"/>
        <v/>
      </c>
      <c r="J75" s="86" t="str">
        <f t="shared" ca="1" si="63"/>
        <v/>
      </c>
      <c r="K75" s="86" t="str">
        <f t="shared" ca="1" si="64"/>
        <v/>
      </c>
      <c r="L75" s="86" t="str">
        <f t="shared" ca="1" si="65"/>
        <v/>
      </c>
      <c r="M75" s="87" t="str">
        <f t="shared" ca="1" si="66"/>
        <v/>
      </c>
      <c r="N75" s="50"/>
      <c r="P75" s="50"/>
      <c r="Q75" s="50"/>
      <c r="R75" s="50"/>
      <c r="S75" s="50"/>
    </row>
    <row r="76" spans="1:19">
      <c r="A76" s="50"/>
      <c r="B76" s="50"/>
      <c r="C76" s="50"/>
      <c r="D76" s="50"/>
      <c r="E76" s="50"/>
      <c r="F76" s="50"/>
      <c r="G76" s="50"/>
      <c r="H76" s="50"/>
      <c r="I76" s="50"/>
      <c r="J76" s="50"/>
      <c r="K76" s="50"/>
      <c r="L76" s="50"/>
      <c r="M76" s="50"/>
      <c r="N76" s="50"/>
      <c r="P76" s="50"/>
      <c r="Q76" s="50"/>
      <c r="R76" s="50"/>
      <c r="S76" s="50"/>
    </row>
    <row r="77" spans="1:19">
      <c r="A77" s="50"/>
      <c r="B77" s="50"/>
      <c r="C77" s="50"/>
      <c r="D77" s="50"/>
      <c r="E77" s="50"/>
      <c r="F77" s="50"/>
      <c r="G77" s="50"/>
      <c r="H77" s="50"/>
      <c r="I77" s="50"/>
      <c r="J77" s="50"/>
      <c r="K77" s="50"/>
      <c r="L77" s="50"/>
      <c r="M77" s="50"/>
      <c r="N77" s="50"/>
      <c r="P77" s="50"/>
      <c r="Q77" s="50"/>
      <c r="R77" s="50"/>
      <c r="S77" s="50"/>
    </row>
    <row r="78" spans="1:19">
      <c r="B78" s="50"/>
      <c r="C78" s="50"/>
      <c r="D78" s="50"/>
      <c r="E78" s="50"/>
      <c r="F78" s="50"/>
      <c r="G78" s="50"/>
      <c r="H78" s="50"/>
      <c r="I78" s="50"/>
      <c r="J78" s="50"/>
      <c r="K78" s="50"/>
      <c r="L78" s="50"/>
      <c r="M78" s="50"/>
      <c r="N78" s="50"/>
      <c r="P78" s="50"/>
      <c r="Q78" s="50"/>
      <c r="R78" s="50"/>
      <c r="S78" s="50"/>
    </row>
    <row r="79" spans="1:19">
      <c r="A79" s="97" t="s">
        <v>221</v>
      </c>
      <c r="B79" s="102"/>
      <c r="C79" s="102"/>
      <c r="D79" s="102"/>
      <c r="E79" s="102"/>
      <c r="F79" s="102"/>
      <c r="G79" s="102"/>
      <c r="H79" s="102"/>
      <c r="I79" s="102"/>
      <c r="J79" s="102"/>
      <c r="K79" s="102"/>
      <c r="L79" s="102"/>
      <c r="M79" s="102"/>
      <c r="N79" s="102"/>
      <c r="P79" s="50"/>
      <c r="Q79" s="50"/>
      <c r="R79" s="50"/>
      <c r="S79" s="5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O127"/>
  <sheetViews>
    <sheetView zoomScale="85" zoomScaleNormal="85" workbookViewId="0">
      <pane xSplit="5" ySplit="1" topLeftCell="F8" activePane="bottomRight" state="frozen"/>
      <selection pane="topRight"/>
      <selection pane="bottomLeft"/>
      <selection pane="bottomRight" activeCell="G27" sqref="G27"/>
    </sheetView>
  </sheetViews>
  <sheetFormatPr defaultRowHeight="14.25"/>
  <cols>
    <col min="1" max="1" width="12.88671875" customWidth="1"/>
    <col min="3" max="3" width="5.88671875" customWidth="1"/>
    <col min="4" max="4" width="9.44140625" customWidth="1"/>
    <col min="5" max="5" width="57.21875" bestFit="1" customWidth="1"/>
    <col min="6" max="8" width="11.77734375" bestFit="1" customWidth="1"/>
    <col min="9" max="9" width="13.33203125" bestFit="1" customWidth="1"/>
    <col min="10" max="10" width="11.77734375" bestFit="1" customWidth="1"/>
    <col min="11" max="11" width="12.33203125" customWidth="1"/>
    <col min="12" max="12" width="11.21875" customWidth="1"/>
    <col min="13" max="13" width="11.6640625" customWidth="1"/>
  </cols>
  <sheetData>
    <row r="1" spans="1:15">
      <c r="A1" s="66" t="s">
        <v>2</v>
      </c>
      <c r="D1" s="2"/>
      <c r="E1" s="2" t="s">
        <v>3</v>
      </c>
      <c r="F1" s="2">
        <v>2011</v>
      </c>
      <c r="G1" s="2">
        <v>2012</v>
      </c>
      <c r="H1" s="2">
        <v>2013</v>
      </c>
      <c r="I1" s="2">
        <v>2014</v>
      </c>
      <c r="J1" s="2">
        <v>2015</v>
      </c>
      <c r="K1" s="2">
        <v>2016</v>
      </c>
      <c r="L1" s="3">
        <v>2017</v>
      </c>
      <c r="M1" s="3">
        <v>2018</v>
      </c>
      <c r="N1" s="3">
        <v>2019</v>
      </c>
      <c r="O1" s="3">
        <v>2020</v>
      </c>
    </row>
    <row r="2" spans="1:15" ht="16.5">
      <c r="A2" s="109" t="s">
        <v>4</v>
      </c>
      <c r="B2" s="109"/>
      <c r="C2" s="110" t="s">
        <v>5</v>
      </c>
      <c r="E2" s="32" t="s">
        <v>6</v>
      </c>
      <c r="F2" s="28"/>
      <c r="G2" s="28"/>
      <c r="H2" s="28"/>
      <c r="I2" s="28"/>
      <c r="J2" s="28"/>
      <c r="K2" s="28"/>
      <c r="L2" s="28"/>
      <c r="M2" s="28"/>
      <c r="N2" s="28"/>
      <c r="O2" s="28"/>
    </row>
    <row r="3" spans="1:15" ht="16.5">
      <c r="A3" s="109"/>
      <c r="B3" s="109"/>
      <c r="C3" s="110"/>
      <c r="E3" s="32" t="s">
        <v>7</v>
      </c>
      <c r="F3" s="29"/>
      <c r="G3" s="29"/>
      <c r="H3" s="29"/>
      <c r="I3" s="29"/>
      <c r="J3" s="29"/>
      <c r="K3" s="29"/>
      <c r="L3" s="30"/>
      <c r="M3" s="30"/>
      <c r="N3" s="30"/>
      <c r="O3" s="30"/>
    </row>
    <row r="4" spans="1:15" ht="16.5">
      <c r="C4" s="110"/>
      <c r="E4" s="32" t="s">
        <v>117</v>
      </c>
      <c r="F4" s="28"/>
      <c r="G4" s="28"/>
      <c r="H4" s="28"/>
      <c r="I4" s="28"/>
      <c r="J4" s="28"/>
      <c r="K4" s="28"/>
      <c r="L4" s="28"/>
      <c r="M4" s="28"/>
      <c r="N4" s="28"/>
      <c r="O4" s="28"/>
    </row>
    <row r="5" spans="1:15" ht="16.5">
      <c r="C5" s="110"/>
      <c r="E5" s="32" t="s">
        <v>8</v>
      </c>
      <c r="F5" s="29"/>
      <c r="G5" s="29"/>
      <c r="H5" s="29"/>
      <c r="I5" s="29"/>
      <c r="J5" s="29"/>
      <c r="K5" s="29"/>
      <c r="L5" s="31"/>
      <c r="M5" s="30"/>
      <c r="N5" s="30"/>
      <c r="O5" s="30"/>
    </row>
    <row r="6" spans="1:15" ht="16.5">
      <c r="A6" s="106" t="s">
        <v>219</v>
      </c>
      <c r="C6" s="110"/>
      <c r="E6" s="18" t="s">
        <v>116</v>
      </c>
      <c r="F6" s="20"/>
      <c r="G6" s="19">
        <f>G5-F5</f>
        <v>0</v>
      </c>
      <c r="H6" s="19">
        <f t="shared" ref="H6:O6" si="0">H5-G5</f>
        <v>0</v>
      </c>
      <c r="I6" s="19">
        <f t="shared" si="0"/>
        <v>0</v>
      </c>
      <c r="J6" s="19">
        <f t="shared" si="0"/>
        <v>0</v>
      </c>
      <c r="K6" s="19">
        <f t="shared" si="0"/>
        <v>0</v>
      </c>
      <c r="L6" s="19">
        <f t="shared" si="0"/>
        <v>0</v>
      </c>
      <c r="M6" s="19">
        <f t="shared" si="0"/>
        <v>0</v>
      </c>
      <c r="N6" s="19">
        <f t="shared" si="0"/>
        <v>0</v>
      </c>
      <c r="O6" s="19">
        <f t="shared" si="0"/>
        <v>0</v>
      </c>
    </row>
    <row r="7" spans="1:15" ht="16.5">
      <c r="C7" s="110"/>
      <c r="D7" s="7" t="s">
        <v>32</v>
      </c>
      <c r="E7" s="18" t="s">
        <v>9</v>
      </c>
      <c r="F7" s="19">
        <f>F2-F3-F4</f>
        <v>0</v>
      </c>
      <c r="G7" s="19">
        <f t="shared" ref="G7:O7" si="1">G2-G3-G4</f>
        <v>0</v>
      </c>
      <c r="H7" s="19">
        <f t="shared" si="1"/>
        <v>0</v>
      </c>
      <c r="I7" s="19">
        <f t="shared" si="1"/>
        <v>0</v>
      </c>
      <c r="J7" s="19">
        <f t="shared" si="1"/>
        <v>0</v>
      </c>
      <c r="K7" s="19">
        <f t="shared" si="1"/>
        <v>0</v>
      </c>
      <c r="L7" s="19">
        <f t="shared" si="1"/>
        <v>0</v>
      </c>
      <c r="M7" s="19">
        <f t="shared" si="1"/>
        <v>0</v>
      </c>
      <c r="N7" s="19">
        <f t="shared" si="1"/>
        <v>0</v>
      </c>
      <c r="O7" s="19">
        <f t="shared" si="1"/>
        <v>0</v>
      </c>
    </row>
    <row r="8" spans="1:15" ht="16.5">
      <c r="C8" s="110"/>
      <c r="D8" s="7" t="s">
        <v>27</v>
      </c>
      <c r="E8" s="18" t="s">
        <v>10</v>
      </c>
      <c r="F8" s="19">
        <f>F2-F6</f>
        <v>0</v>
      </c>
      <c r="G8" s="19">
        <f t="shared" ref="G8:O8" si="2">G2-G6</f>
        <v>0</v>
      </c>
      <c r="H8" s="19">
        <f t="shared" si="2"/>
        <v>0</v>
      </c>
      <c r="I8" s="19">
        <f t="shared" si="2"/>
        <v>0</v>
      </c>
      <c r="J8" s="19">
        <f t="shared" si="2"/>
        <v>0</v>
      </c>
      <c r="K8" s="19">
        <f t="shared" si="2"/>
        <v>0</v>
      </c>
      <c r="L8" s="19">
        <f t="shared" si="2"/>
        <v>0</v>
      </c>
      <c r="M8" s="19">
        <f t="shared" si="2"/>
        <v>0</v>
      </c>
      <c r="N8" s="19">
        <f t="shared" si="2"/>
        <v>0</v>
      </c>
      <c r="O8" s="19">
        <f t="shared" si="2"/>
        <v>0</v>
      </c>
    </row>
    <row r="9" spans="1:15" ht="16.5">
      <c r="E9" s="18"/>
      <c r="F9" s="20"/>
      <c r="G9" s="20"/>
      <c r="H9" s="20"/>
      <c r="I9" s="20"/>
      <c r="J9" s="20"/>
      <c r="K9" s="20"/>
      <c r="L9" s="21"/>
      <c r="M9" s="21"/>
      <c r="N9" s="21"/>
      <c r="O9" s="21"/>
    </row>
    <row r="10" spans="1:15" ht="16.5">
      <c r="C10" s="110" t="s">
        <v>11</v>
      </c>
      <c r="E10" s="32" t="s">
        <v>12</v>
      </c>
      <c r="F10" s="29"/>
      <c r="G10" s="29"/>
      <c r="H10" s="29"/>
      <c r="I10" s="29"/>
      <c r="J10" s="29"/>
      <c r="K10" s="29"/>
      <c r="L10" s="30"/>
      <c r="M10" s="30"/>
      <c r="N10" s="30"/>
      <c r="O10" s="30"/>
    </row>
    <row r="11" spans="1:15" ht="16.5">
      <c r="C11" s="110"/>
      <c r="E11" s="32" t="s">
        <v>13</v>
      </c>
      <c r="F11" s="29"/>
      <c r="G11" s="29"/>
      <c r="H11" s="29"/>
      <c r="I11" s="29"/>
      <c r="J11" s="29"/>
      <c r="K11" s="29"/>
      <c r="L11" s="30"/>
      <c r="M11" s="30"/>
      <c r="N11" s="30"/>
      <c r="O11" s="30"/>
    </row>
    <row r="12" spans="1:15" ht="16.5">
      <c r="C12" s="110"/>
      <c r="E12" s="18" t="s">
        <v>14</v>
      </c>
      <c r="F12" s="19">
        <f>F10-F11</f>
        <v>0</v>
      </c>
      <c r="G12" s="19">
        <f t="shared" ref="G12:H12" si="3">G10-G11</f>
        <v>0</v>
      </c>
      <c r="H12" s="19">
        <f t="shared" si="3"/>
        <v>0</v>
      </c>
      <c r="I12" s="19">
        <f>I10-I11</f>
        <v>0</v>
      </c>
      <c r="J12" s="19">
        <f>J10-J11</f>
        <v>0</v>
      </c>
      <c r="K12" s="19">
        <f>K10-K11</f>
        <v>0</v>
      </c>
      <c r="L12" s="19">
        <f t="shared" ref="L12:O12" si="4">L10-L11</f>
        <v>0</v>
      </c>
      <c r="M12" s="19">
        <f t="shared" si="4"/>
        <v>0</v>
      </c>
      <c r="N12" s="19">
        <f t="shared" si="4"/>
        <v>0</v>
      </c>
      <c r="O12" s="19">
        <f t="shared" si="4"/>
        <v>0</v>
      </c>
    </row>
    <row r="13" spans="1:15" ht="16.5">
      <c r="C13" s="110"/>
      <c r="E13" s="32" t="s">
        <v>15</v>
      </c>
      <c r="F13" s="29"/>
      <c r="G13" s="29"/>
      <c r="H13" s="29"/>
      <c r="I13" s="29"/>
      <c r="J13" s="29"/>
      <c r="K13" s="29"/>
      <c r="L13" s="30"/>
      <c r="M13" s="30"/>
      <c r="N13" s="30"/>
      <c r="O13" s="30"/>
    </row>
    <row r="14" spans="1:15" ht="16.5">
      <c r="C14" s="110"/>
      <c r="E14" s="32" t="s">
        <v>16</v>
      </c>
      <c r="F14" s="29"/>
      <c r="G14" s="29"/>
      <c r="H14" s="29"/>
      <c r="I14" s="29"/>
      <c r="J14" s="29"/>
      <c r="K14" s="29"/>
      <c r="L14" s="30"/>
      <c r="M14" s="30"/>
      <c r="N14" s="30"/>
      <c r="O14" s="30"/>
    </row>
    <row r="15" spans="1:15" ht="16.5">
      <c r="C15" s="110"/>
      <c r="E15" s="18" t="s">
        <v>17</v>
      </c>
      <c r="F15" s="19">
        <f>F12+F13-F14</f>
        <v>0</v>
      </c>
      <c r="G15" s="19">
        <f t="shared" ref="G15:I15" si="5">G12+G13-G14</f>
        <v>0</v>
      </c>
      <c r="H15" s="19">
        <f t="shared" si="5"/>
        <v>0</v>
      </c>
      <c r="I15" s="19">
        <f t="shared" si="5"/>
        <v>0</v>
      </c>
      <c r="J15" s="19">
        <f>J12+J13-J14</f>
        <v>0</v>
      </c>
      <c r="K15" s="19">
        <f>K12+K13-K14</f>
        <v>0</v>
      </c>
      <c r="L15" s="19">
        <f t="shared" ref="L15:O15" si="6">L12+L13-L14</f>
        <v>0</v>
      </c>
      <c r="M15" s="19">
        <f t="shared" si="6"/>
        <v>0</v>
      </c>
      <c r="N15" s="19">
        <f t="shared" si="6"/>
        <v>0</v>
      </c>
      <c r="O15" s="19">
        <f t="shared" si="6"/>
        <v>0</v>
      </c>
    </row>
    <row r="16" spans="1:15" ht="16.5">
      <c r="C16" s="6"/>
      <c r="E16" s="32" t="s">
        <v>230</v>
      </c>
      <c r="F16" s="29"/>
      <c r="G16" s="29"/>
      <c r="H16" s="29"/>
      <c r="I16" s="29"/>
      <c r="J16" s="29"/>
      <c r="K16" s="29"/>
      <c r="L16" s="30"/>
      <c r="M16" s="30"/>
      <c r="N16" s="30"/>
      <c r="O16" s="30"/>
    </row>
    <row r="17" spans="1:15">
      <c r="E17" s="21"/>
      <c r="F17" s="20"/>
      <c r="G17" s="20"/>
      <c r="H17" s="20"/>
      <c r="I17" s="20"/>
      <c r="J17" s="21"/>
      <c r="K17" s="20"/>
      <c r="L17" s="21"/>
      <c r="M17" s="21"/>
      <c r="N17" s="21"/>
      <c r="O17" s="21"/>
    </row>
    <row r="18" spans="1:15" ht="16.5">
      <c r="C18" s="110" t="s">
        <v>19</v>
      </c>
      <c r="E18" s="32" t="s">
        <v>20</v>
      </c>
      <c r="F18" s="29"/>
      <c r="G18" s="29"/>
      <c r="H18" s="29"/>
      <c r="I18" s="29"/>
      <c r="J18" s="29"/>
      <c r="K18" s="29"/>
      <c r="L18" s="30"/>
      <c r="M18" s="30"/>
      <c r="N18" s="30"/>
      <c r="O18" s="30"/>
    </row>
    <row r="19" spans="1:15" ht="16.5">
      <c r="C19" s="110"/>
      <c r="E19" s="32" t="s">
        <v>21</v>
      </c>
      <c r="F19" s="29"/>
      <c r="G19" s="29"/>
      <c r="H19" s="29"/>
      <c r="I19" s="29"/>
      <c r="J19" s="29"/>
      <c r="K19" s="29"/>
      <c r="L19" s="30"/>
      <c r="M19" s="30"/>
      <c r="N19" s="30"/>
      <c r="O19" s="30"/>
    </row>
    <row r="20" spans="1:15" ht="16.5">
      <c r="C20" s="110"/>
      <c r="E20" s="32" t="s">
        <v>22</v>
      </c>
      <c r="F20" s="29"/>
      <c r="G20" s="29"/>
      <c r="H20" s="29"/>
      <c r="I20" s="29"/>
      <c r="J20" s="29"/>
      <c r="K20" s="29"/>
      <c r="L20" s="30"/>
      <c r="M20" s="30"/>
      <c r="N20" s="30"/>
      <c r="O20" s="30"/>
    </row>
    <row r="21" spans="1:15" ht="16.5">
      <c r="C21" s="110"/>
      <c r="E21" s="32" t="s">
        <v>23</v>
      </c>
      <c r="F21" s="29"/>
      <c r="G21" s="29"/>
      <c r="H21" s="29"/>
      <c r="I21" s="29"/>
      <c r="J21" s="29"/>
      <c r="K21" s="29"/>
      <c r="L21" s="30"/>
      <c r="M21" s="30"/>
      <c r="N21" s="30"/>
      <c r="O21" s="30"/>
    </row>
    <row r="22" spans="1:15" ht="16.5">
      <c r="C22" s="110"/>
      <c r="E22" s="32" t="s">
        <v>24</v>
      </c>
      <c r="F22" s="29"/>
      <c r="G22" s="29"/>
      <c r="H22" s="29"/>
      <c r="I22" s="29"/>
      <c r="J22" s="29"/>
      <c r="K22" s="30"/>
      <c r="L22" s="30"/>
      <c r="M22" s="30"/>
      <c r="N22" s="30"/>
      <c r="O22" s="30"/>
    </row>
    <row r="23" spans="1:15" ht="16.5">
      <c r="E23" s="18"/>
      <c r="F23" s="21"/>
      <c r="G23" s="21"/>
      <c r="H23" s="21"/>
      <c r="I23" s="21"/>
      <c r="J23" s="20"/>
      <c r="K23" s="21"/>
      <c r="L23" s="21"/>
      <c r="M23" s="21"/>
      <c r="N23" s="21"/>
      <c r="O23" s="21"/>
    </row>
    <row r="24" spans="1:15">
      <c r="A24" t="s">
        <v>25</v>
      </c>
      <c r="C24" s="111" t="s">
        <v>26</v>
      </c>
      <c r="D24" s="7" t="s">
        <v>27</v>
      </c>
      <c r="E24" s="22" t="s">
        <v>28</v>
      </c>
      <c r="F24" s="67" t="e">
        <f>F10/F8</f>
        <v>#DIV/0!</v>
      </c>
      <c r="G24" s="67" t="e">
        <f>G10/G8</f>
        <v>#DIV/0!</v>
      </c>
      <c r="H24" s="67" t="e">
        <f t="shared" ref="H24:O24" si="7">H10/H8</f>
        <v>#DIV/0!</v>
      </c>
      <c r="I24" s="67" t="e">
        <f t="shared" si="7"/>
        <v>#DIV/0!</v>
      </c>
      <c r="J24" s="67" t="e">
        <f t="shared" si="7"/>
        <v>#DIV/0!</v>
      </c>
      <c r="K24" s="67" t="e">
        <f t="shared" si="7"/>
        <v>#DIV/0!</v>
      </c>
      <c r="L24" s="67" t="e">
        <f t="shared" si="7"/>
        <v>#DIV/0!</v>
      </c>
      <c r="M24" s="67" t="e">
        <f t="shared" si="7"/>
        <v>#DIV/0!</v>
      </c>
      <c r="N24" s="67" t="e">
        <f t="shared" si="7"/>
        <v>#DIV/0!</v>
      </c>
      <c r="O24" s="67" t="e">
        <f t="shared" si="7"/>
        <v>#DIV/0!</v>
      </c>
    </row>
    <row r="25" spans="1:15">
      <c r="C25" s="111"/>
      <c r="E25" s="22" t="s">
        <v>29</v>
      </c>
      <c r="F25" s="67" t="e">
        <f>(F10+F13)/F8</f>
        <v>#DIV/0!</v>
      </c>
      <c r="G25" s="67" t="e">
        <f t="shared" ref="G25:O25" si="8">(G10+G13)/G8</f>
        <v>#DIV/0!</v>
      </c>
      <c r="H25" s="67" t="e">
        <f t="shared" si="8"/>
        <v>#DIV/0!</v>
      </c>
      <c r="I25" s="67" t="e">
        <f t="shared" si="8"/>
        <v>#DIV/0!</v>
      </c>
      <c r="J25" s="67" t="e">
        <f t="shared" si="8"/>
        <v>#DIV/0!</v>
      </c>
      <c r="K25" s="67" t="e">
        <f t="shared" si="8"/>
        <v>#DIV/0!</v>
      </c>
      <c r="L25" s="67" t="e">
        <f t="shared" si="8"/>
        <v>#DIV/0!</v>
      </c>
      <c r="M25" s="67" t="e">
        <f t="shared" si="8"/>
        <v>#DIV/0!</v>
      </c>
      <c r="N25" s="67" t="e">
        <f t="shared" si="8"/>
        <v>#DIV/0!</v>
      </c>
      <c r="O25" s="67" t="e">
        <f t="shared" si="8"/>
        <v>#DIV/0!</v>
      </c>
    </row>
    <row r="26" spans="1:15">
      <c r="C26" s="111"/>
      <c r="E26" s="22" t="s">
        <v>30</v>
      </c>
      <c r="F26" s="67" t="e">
        <f>SUM(F18:F21)/F8</f>
        <v>#DIV/0!</v>
      </c>
      <c r="G26" s="67" t="e">
        <f>SUM(G18:G21)/G8</f>
        <v>#DIV/0!</v>
      </c>
      <c r="H26" s="67" t="e">
        <f t="shared" ref="G26:N26" si="9">SUM(H18:H21)/H8</f>
        <v>#DIV/0!</v>
      </c>
      <c r="I26" s="67" t="e">
        <f t="shared" si="9"/>
        <v>#DIV/0!</v>
      </c>
      <c r="J26" s="67" t="e">
        <f t="shared" si="9"/>
        <v>#DIV/0!</v>
      </c>
      <c r="K26" s="67" t="e">
        <f t="shared" si="9"/>
        <v>#DIV/0!</v>
      </c>
      <c r="L26" s="67" t="e">
        <f t="shared" si="9"/>
        <v>#DIV/0!</v>
      </c>
      <c r="M26" s="67" t="e">
        <f t="shared" si="9"/>
        <v>#DIV/0!</v>
      </c>
      <c r="N26" s="67" t="e">
        <f t="shared" si="9"/>
        <v>#DIV/0!</v>
      </c>
      <c r="O26" s="67" t="e">
        <f>SUM(O18:O21)/O8</f>
        <v>#DIV/0!</v>
      </c>
    </row>
    <row r="27" spans="1:15">
      <c r="C27" s="111"/>
      <c r="E27" s="22" t="s">
        <v>111</v>
      </c>
      <c r="F27" s="24" t="e">
        <f>F25+F26</f>
        <v>#DIV/0!</v>
      </c>
      <c r="G27" s="24" t="e">
        <f t="shared" ref="G27:O27" si="10">G25+G26</f>
        <v>#DIV/0!</v>
      </c>
      <c r="H27" s="24" t="e">
        <f t="shared" si="10"/>
        <v>#DIV/0!</v>
      </c>
      <c r="I27" s="24" t="e">
        <f t="shared" si="10"/>
        <v>#DIV/0!</v>
      </c>
      <c r="J27" s="24" t="e">
        <f t="shared" si="10"/>
        <v>#DIV/0!</v>
      </c>
      <c r="K27" s="24" t="e">
        <f t="shared" si="10"/>
        <v>#DIV/0!</v>
      </c>
      <c r="L27" s="24" t="e">
        <f t="shared" si="10"/>
        <v>#DIV/0!</v>
      </c>
      <c r="M27" s="24" t="e">
        <f t="shared" si="10"/>
        <v>#DIV/0!</v>
      </c>
      <c r="N27" s="24" t="e">
        <f t="shared" si="10"/>
        <v>#DIV/0!</v>
      </c>
      <c r="O27" s="24" t="e">
        <f t="shared" si="10"/>
        <v>#DIV/0!</v>
      </c>
    </row>
    <row r="28" spans="1:15">
      <c r="C28" s="111"/>
      <c r="D28" s="7" t="s">
        <v>32</v>
      </c>
      <c r="E28" s="22" t="s">
        <v>28</v>
      </c>
      <c r="F28" s="23" t="e">
        <f>F12/F7</f>
        <v>#DIV/0!</v>
      </c>
      <c r="G28" s="23" t="e">
        <f t="shared" ref="G28:O28" si="11">G12/G7</f>
        <v>#DIV/0!</v>
      </c>
      <c r="H28" s="23" t="e">
        <f t="shared" si="11"/>
        <v>#DIV/0!</v>
      </c>
      <c r="I28" s="23" t="e">
        <f t="shared" si="11"/>
        <v>#DIV/0!</v>
      </c>
      <c r="J28" s="23" t="e">
        <f t="shared" si="11"/>
        <v>#DIV/0!</v>
      </c>
      <c r="K28" s="23" t="e">
        <f t="shared" si="11"/>
        <v>#DIV/0!</v>
      </c>
      <c r="L28" s="23" t="e">
        <f t="shared" si="11"/>
        <v>#DIV/0!</v>
      </c>
      <c r="M28" s="23" t="e">
        <f t="shared" si="11"/>
        <v>#DIV/0!</v>
      </c>
      <c r="N28" s="23" t="e">
        <f t="shared" si="11"/>
        <v>#DIV/0!</v>
      </c>
      <c r="O28" s="23" t="e">
        <f t="shared" si="11"/>
        <v>#DIV/0!</v>
      </c>
    </row>
    <row r="29" spans="1:15">
      <c r="C29" s="111"/>
      <c r="E29" s="22" t="s">
        <v>29</v>
      </c>
      <c r="F29" s="23" t="e">
        <f>F15/F7</f>
        <v>#DIV/0!</v>
      </c>
      <c r="G29" s="23" t="e">
        <f t="shared" ref="G29:O29" si="12">G15/G7</f>
        <v>#DIV/0!</v>
      </c>
      <c r="H29" s="23" t="e">
        <f t="shared" si="12"/>
        <v>#DIV/0!</v>
      </c>
      <c r="I29" s="23" t="e">
        <f t="shared" si="12"/>
        <v>#DIV/0!</v>
      </c>
      <c r="J29" s="23" t="e">
        <f t="shared" si="12"/>
        <v>#DIV/0!</v>
      </c>
      <c r="K29" s="23" t="e">
        <f t="shared" si="12"/>
        <v>#DIV/0!</v>
      </c>
      <c r="L29" s="23" t="e">
        <f t="shared" si="12"/>
        <v>#DIV/0!</v>
      </c>
      <c r="M29" s="23" t="e">
        <f t="shared" si="12"/>
        <v>#DIV/0!</v>
      </c>
      <c r="N29" s="23" t="e">
        <f t="shared" si="12"/>
        <v>#DIV/0!</v>
      </c>
      <c r="O29" s="23" t="e">
        <f t="shared" si="12"/>
        <v>#DIV/0!</v>
      </c>
    </row>
    <row r="30" spans="1:15">
      <c r="C30" s="111"/>
      <c r="E30" s="22" t="s">
        <v>30</v>
      </c>
      <c r="F30" s="67" t="e">
        <f>(SUM(F18:F21)-F22)/F7</f>
        <v>#DIV/0!</v>
      </c>
      <c r="G30" s="67" t="e">
        <f t="shared" ref="G30:O30" si="13">(SUM(G18:G21)-G22)/G7</f>
        <v>#DIV/0!</v>
      </c>
      <c r="H30" s="67" t="e">
        <f t="shared" si="13"/>
        <v>#DIV/0!</v>
      </c>
      <c r="I30" s="67" t="e">
        <f t="shared" si="13"/>
        <v>#DIV/0!</v>
      </c>
      <c r="J30" s="67" t="e">
        <f t="shared" si="13"/>
        <v>#DIV/0!</v>
      </c>
      <c r="K30" s="67" t="e">
        <f t="shared" si="13"/>
        <v>#DIV/0!</v>
      </c>
      <c r="L30" s="67" t="e">
        <f t="shared" si="13"/>
        <v>#DIV/0!</v>
      </c>
      <c r="M30" s="67" t="e">
        <f t="shared" si="13"/>
        <v>#DIV/0!</v>
      </c>
      <c r="N30" s="67" t="e">
        <f t="shared" si="13"/>
        <v>#DIV/0!</v>
      </c>
      <c r="O30" s="67" t="e">
        <f t="shared" si="13"/>
        <v>#DIV/0!</v>
      </c>
    </row>
    <row r="31" spans="1:15">
      <c r="C31" s="111"/>
      <c r="E31" s="22" t="s">
        <v>112</v>
      </c>
      <c r="F31" s="24" t="e">
        <f>F29+F30</f>
        <v>#DIV/0!</v>
      </c>
      <c r="G31" s="24" t="e">
        <f t="shared" ref="G31:O31" si="14">G29+G30</f>
        <v>#DIV/0!</v>
      </c>
      <c r="H31" s="24" t="e">
        <f t="shared" si="14"/>
        <v>#DIV/0!</v>
      </c>
      <c r="I31" s="24" t="e">
        <f t="shared" si="14"/>
        <v>#DIV/0!</v>
      </c>
      <c r="J31" s="24" t="e">
        <f t="shared" si="14"/>
        <v>#DIV/0!</v>
      </c>
      <c r="K31" s="24" t="e">
        <f t="shared" si="14"/>
        <v>#DIV/0!</v>
      </c>
      <c r="L31" s="24" t="e">
        <f t="shared" si="14"/>
        <v>#DIV/0!</v>
      </c>
      <c r="M31" s="24" t="e">
        <f t="shared" si="14"/>
        <v>#DIV/0!</v>
      </c>
      <c r="N31" s="24" t="e">
        <f t="shared" si="14"/>
        <v>#DIV/0!</v>
      </c>
      <c r="O31" s="24" t="e">
        <f t="shared" si="14"/>
        <v>#DIV/0!</v>
      </c>
    </row>
    <row r="32" spans="1:15">
      <c r="C32" s="111"/>
      <c r="E32" s="22" t="s">
        <v>33</v>
      </c>
      <c r="F32" s="67" t="e">
        <f>F3/F2</f>
        <v>#DIV/0!</v>
      </c>
      <c r="G32" s="67" t="e">
        <f t="shared" ref="G32:O32" si="15">G3/G2</f>
        <v>#DIV/0!</v>
      </c>
      <c r="H32" s="67" t="e">
        <f t="shared" si="15"/>
        <v>#DIV/0!</v>
      </c>
      <c r="I32" s="67" t="e">
        <f t="shared" si="15"/>
        <v>#DIV/0!</v>
      </c>
      <c r="J32" s="67" t="e">
        <f t="shared" si="15"/>
        <v>#DIV/0!</v>
      </c>
      <c r="K32" s="67" t="e">
        <f t="shared" si="15"/>
        <v>#DIV/0!</v>
      </c>
      <c r="L32" s="67" t="e">
        <f t="shared" si="15"/>
        <v>#DIV/0!</v>
      </c>
      <c r="M32" s="67" t="e">
        <f t="shared" si="15"/>
        <v>#DIV/0!</v>
      </c>
      <c r="N32" s="67" t="e">
        <f t="shared" si="15"/>
        <v>#DIV/0!</v>
      </c>
      <c r="O32" s="67" t="e">
        <f t="shared" si="15"/>
        <v>#DIV/0!</v>
      </c>
    </row>
    <row r="33" spans="1:15"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</row>
    <row r="34" spans="1:15" ht="16.5" customHeight="1">
      <c r="A34" s="109" t="s">
        <v>34</v>
      </c>
      <c r="B34" s="109"/>
      <c r="C34" s="113" t="s">
        <v>35</v>
      </c>
      <c r="E34" s="32" t="s">
        <v>36</v>
      </c>
      <c r="F34" s="29"/>
      <c r="G34" s="29"/>
      <c r="H34" s="29"/>
      <c r="I34" s="29"/>
      <c r="J34" s="29"/>
      <c r="K34" s="29"/>
      <c r="L34" s="30"/>
      <c r="M34" s="30"/>
      <c r="N34" s="30"/>
      <c r="O34" s="30"/>
    </row>
    <row r="35" spans="1:15" ht="16.5" customHeight="1">
      <c r="A35" s="109"/>
      <c r="B35" s="109"/>
      <c r="C35" s="113"/>
      <c r="E35" s="32" t="s">
        <v>37</v>
      </c>
      <c r="F35" s="29"/>
      <c r="G35" s="29"/>
      <c r="H35" s="30"/>
      <c r="I35" s="29"/>
      <c r="J35" s="29"/>
      <c r="K35" s="29"/>
      <c r="L35" s="30"/>
      <c r="M35" s="30"/>
      <c r="N35" s="30"/>
      <c r="O35" s="30"/>
    </row>
    <row r="36" spans="1:15" ht="16.5">
      <c r="C36" s="113"/>
      <c r="E36" s="32" t="s">
        <v>38</v>
      </c>
      <c r="F36" s="29"/>
      <c r="G36" s="29"/>
      <c r="H36" s="29"/>
      <c r="I36" s="29"/>
      <c r="J36" s="29"/>
      <c r="K36" s="29"/>
      <c r="L36" s="30"/>
      <c r="M36" s="30"/>
      <c r="N36" s="30"/>
      <c r="O36" s="30"/>
    </row>
    <row r="37" spans="1:15" ht="16.5">
      <c r="C37" s="113"/>
      <c r="E37" s="32" t="s">
        <v>39</v>
      </c>
      <c r="F37" s="29"/>
      <c r="G37" s="29"/>
      <c r="H37" s="29"/>
      <c r="I37" s="29"/>
      <c r="J37" s="29"/>
      <c r="K37" s="29"/>
      <c r="L37" s="30"/>
      <c r="M37" s="30"/>
      <c r="N37" s="30"/>
      <c r="O37" s="30"/>
    </row>
    <row r="38" spans="1:15" ht="16.5">
      <c r="C38" s="113"/>
      <c r="E38" s="32" t="s">
        <v>40</v>
      </c>
      <c r="F38" s="29"/>
      <c r="G38" s="29"/>
      <c r="H38" s="29"/>
      <c r="I38" s="29"/>
      <c r="J38" s="29"/>
      <c r="K38" s="29"/>
      <c r="L38" s="30"/>
      <c r="M38" s="30"/>
      <c r="N38" s="30"/>
      <c r="O38" s="30"/>
    </row>
    <row r="39" spans="1:15" ht="16.5">
      <c r="C39" s="113"/>
      <c r="E39" s="32" t="s">
        <v>41</v>
      </c>
      <c r="F39" s="29"/>
      <c r="G39" s="29"/>
      <c r="H39" s="29"/>
      <c r="I39" s="29"/>
      <c r="J39" s="29"/>
      <c r="K39" s="29"/>
      <c r="L39" s="30"/>
      <c r="M39" s="30"/>
      <c r="N39" s="30"/>
      <c r="O39" s="30"/>
    </row>
    <row r="40" spans="1:15" ht="16.5">
      <c r="C40" s="113"/>
      <c r="E40" s="32" t="s">
        <v>90</v>
      </c>
      <c r="F40" s="29"/>
      <c r="G40" s="29"/>
      <c r="H40" s="29"/>
      <c r="I40" s="29"/>
      <c r="J40" s="29"/>
      <c r="K40" s="29"/>
      <c r="L40" s="30"/>
      <c r="M40" s="30"/>
      <c r="N40" s="30"/>
      <c r="O40" s="30"/>
    </row>
    <row r="41" spans="1:15" ht="16.5">
      <c r="C41" s="113"/>
      <c r="E41" s="32" t="s">
        <v>42</v>
      </c>
      <c r="F41" s="29"/>
      <c r="G41" s="29"/>
      <c r="H41" s="29"/>
      <c r="I41" s="29"/>
      <c r="J41" s="29"/>
      <c r="K41" s="29"/>
      <c r="L41" s="30"/>
      <c r="M41" s="30"/>
      <c r="N41" s="30"/>
      <c r="O41" s="30"/>
    </row>
    <row r="42" spans="1:15" ht="16.5">
      <c r="C42" s="113"/>
      <c r="E42" s="32" t="s">
        <v>96</v>
      </c>
      <c r="F42" s="29"/>
      <c r="G42" s="29"/>
      <c r="H42" s="31"/>
      <c r="I42" s="31"/>
      <c r="J42" s="29"/>
      <c r="K42" s="29"/>
      <c r="L42" s="30"/>
      <c r="M42" s="30"/>
      <c r="N42" s="30"/>
      <c r="O42" s="30"/>
    </row>
    <row r="43" spans="1:15"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</row>
    <row r="44" spans="1:15" ht="16.5">
      <c r="C44" s="114" t="s">
        <v>43</v>
      </c>
      <c r="E44" s="32" t="s">
        <v>44</v>
      </c>
      <c r="F44" s="31"/>
      <c r="G44" s="31"/>
      <c r="H44" s="29"/>
      <c r="I44" s="29"/>
      <c r="J44" s="31"/>
      <c r="K44" s="29"/>
      <c r="L44" s="30"/>
      <c r="M44" s="30"/>
      <c r="N44" s="30"/>
      <c r="O44" s="30"/>
    </row>
    <row r="45" spans="1:15" ht="16.5">
      <c r="C45" s="114"/>
      <c r="E45" s="32" t="s">
        <v>45</v>
      </c>
      <c r="F45" s="31"/>
      <c r="G45" s="31"/>
      <c r="H45" s="29"/>
      <c r="I45" s="29"/>
      <c r="J45" s="31"/>
      <c r="K45" s="29"/>
      <c r="L45" s="30"/>
      <c r="M45" s="30"/>
      <c r="N45" s="30"/>
      <c r="O45" s="30"/>
    </row>
    <row r="46" spans="1:15" ht="16.5">
      <c r="C46" s="114"/>
      <c r="E46" s="18" t="s">
        <v>46</v>
      </c>
      <c r="F46" s="20">
        <f t="shared" ref="F46:O46" si="16">F47-SUM(F44:F45)</f>
        <v>0</v>
      </c>
      <c r="G46" s="20">
        <f t="shared" si="16"/>
        <v>0</v>
      </c>
      <c r="H46" s="20">
        <f t="shared" si="16"/>
        <v>0</v>
      </c>
      <c r="I46" s="20">
        <f t="shared" si="16"/>
        <v>0</v>
      </c>
      <c r="J46" s="20">
        <f t="shared" si="16"/>
        <v>0</v>
      </c>
      <c r="K46" s="20">
        <f t="shared" si="16"/>
        <v>0</v>
      </c>
      <c r="L46" s="20">
        <f t="shared" si="16"/>
        <v>0</v>
      </c>
      <c r="M46" s="20">
        <f t="shared" si="16"/>
        <v>0</v>
      </c>
      <c r="N46" s="20">
        <f t="shared" si="16"/>
        <v>0</v>
      </c>
      <c r="O46" s="20">
        <f t="shared" si="16"/>
        <v>0</v>
      </c>
    </row>
    <row r="47" spans="1:15" ht="16.5">
      <c r="C47" s="114"/>
      <c r="E47" s="32" t="s">
        <v>47</v>
      </c>
      <c r="F47" s="28"/>
      <c r="G47" s="28"/>
      <c r="H47" s="28"/>
      <c r="I47" s="28"/>
      <c r="J47" s="28"/>
      <c r="K47" s="28"/>
      <c r="L47" s="28"/>
      <c r="M47" s="28"/>
      <c r="N47" s="28"/>
      <c r="O47" s="30"/>
    </row>
    <row r="48" spans="1:15" ht="16.5">
      <c r="C48" s="114"/>
      <c r="E48" s="32" t="s">
        <v>82</v>
      </c>
      <c r="F48" s="28"/>
      <c r="G48" s="28"/>
      <c r="H48" s="28"/>
      <c r="I48" s="28"/>
      <c r="J48" s="28"/>
      <c r="K48" s="28"/>
      <c r="L48" s="30"/>
      <c r="M48" s="30"/>
      <c r="N48" s="30"/>
      <c r="O48" s="30"/>
    </row>
    <row r="49" spans="1:15"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</row>
    <row r="50" spans="1:15" ht="14.25" customHeight="1">
      <c r="C50" s="111" t="s">
        <v>26</v>
      </c>
      <c r="E50" s="22" t="s">
        <v>48</v>
      </c>
      <c r="F50" s="23" t="e">
        <f>(F47)/(SUM(F34:F42))</f>
        <v>#DIV/0!</v>
      </c>
      <c r="G50" s="23" t="e">
        <f t="shared" ref="G50:O50" si="17">(G47)/(SUM(G34:G42))</f>
        <v>#DIV/0!</v>
      </c>
      <c r="H50" s="23" t="e">
        <f t="shared" si="17"/>
        <v>#DIV/0!</v>
      </c>
      <c r="I50" s="23" t="e">
        <f t="shared" si="17"/>
        <v>#DIV/0!</v>
      </c>
      <c r="J50" s="23" t="e">
        <f t="shared" si="17"/>
        <v>#DIV/0!</v>
      </c>
      <c r="K50" s="23" t="e">
        <f t="shared" si="17"/>
        <v>#DIV/0!</v>
      </c>
      <c r="L50" s="23" t="e">
        <f t="shared" si="17"/>
        <v>#DIV/0!</v>
      </c>
      <c r="M50" s="23" t="e">
        <f t="shared" si="17"/>
        <v>#DIV/0!</v>
      </c>
      <c r="N50" s="23" t="e">
        <f t="shared" si="17"/>
        <v>#DIV/0!</v>
      </c>
      <c r="O50" s="23" t="e">
        <f t="shared" si="17"/>
        <v>#DIV/0!</v>
      </c>
    </row>
    <row r="51" spans="1:15">
      <c r="C51" s="111"/>
      <c r="E51" s="22" t="s">
        <v>49</v>
      </c>
      <c r="F51" s="23" t="e">
        <f>(F47+F48)/SUM(F34:F42)</f>
        <v>#DIV/0!</v>
      </c>
      <c r="G51" s="23" t="e">
        <f t="shared" ref="G51:O51" si="18">(G47+G48)/SUM(G34:G42)</f>
        <v>#DIV/0!</v>
      </c>
      <c r="H51" s="23" t="e">
        <f t="shared" si="18"/>
        <v>#DIV/0!</v>
      </c>
      <c r="I51" s="23" t="e">
        <f t="shared" si="18"/>
        <v>#DIV/0!</v>
      </c>
      <c r="J51" s="23" t="e">
        <f t="shared" si="18"/>
        <v>#DIV/0!</v>
      </c>
      <c r="K51" s="23" t="e">
        <f t="shared" si="18"/>
        <v>#DIV/0!</v>
      </c>
      <c r="L51" s="23" t="e">
        <f t="shared" si="18"/>
        <v>#DIV/0!</v>
      </c>
      <c r="M51" s="23" t="e">
        <f t="shared" si="18"/>
        <v>#DIV/0!</v>
      </c>
      <c r="N51" s="23" t="e">
        <f t="shared" si="18"/>
        <v>#DIV/0!</v>
      </c>
      <c r="O51" s="23" t="e">
        <f t="shared" si="18"/>
        <v>#DIV/0!</v>
      </c>
    </row>
    <row r="52" spans="1:15">
      <c r="C52" s="11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</row>
    <row r="53" spans="1:15">
      <c r="C53" s="11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</row>
    <row r="54" spans="1:15" ht="14.25" customHeight="1">
      <c r="C54" s="111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</row>
    <row r="55" spans="1:15" ht="14.25" customHeight="1">
      <c r="C55" s="11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</row>
    <row r="56" spans="1:15" ht="16.5">
      <c r="E56" s="18"/>
      <c r="F56" s="21"/>
      <c r="G56" s="21"/>
      <c r="H56" s="21"/>
      <c r="I56" s="21"/>
      <c r="J56" s="21"/>
      <c r="K56" s="21"/>
      <c r="L56" s="21"/>
      <c r="M56" s="21"/>
      <c r="N56" s="21"/>
      <c r="O56" s="21"/>
    </row>
    <row r="57" spans="1:15" ht="14.25" customHeight="1">
      <c r="A57" s="109" t="s">
        <v>50</v>
      </c>
      <c r="B57" s="109"/>
      <c r="C57" s="111" t="s">
        <v>51</v>
      </c>
      <c r="E57" s="32" t="s">
        <v>52</v>
      </c>
      <c r="F57" s="30"/>
      <c r="G57" s="30"/>
      <c r="H57" s="30"/>
      <c r="I57" s="30"/>
      <c r="J57" s="30"/>
      <c r="K57" s="30"/>
      <c r="L57" s="30"/>
      <c r="M57" s="30"/>
      <c r="N57" s="30"/>
      <c r="O57" s="30"/>
    </row>
    <row r="58" spans="1:15" ht="16.5" customHeight="1">
      <c r="A58" s="109"/>
      <c r="B58" s="109"/>
      <c r="C58" s="111"/>
      <c r="E58" s="32" t="s">
        <v>53</v>
      </c>
      <c r="F58" s="30"/>
      <c r="G58" s="30"/>
      <c r="H58" s="30"/>
      <c r="I58" s="30"/>
      <c r="J58" s="30"/>
      <c r="K58" s="30"/>
      <c r="L58" s="30"/>
      <c r="M58" s="30"/>
      <c r="N58" s="30"/>
      <c r="O58" s="30"/>
    </row>
    <row r="59" spans="1:15" ht="16.5">
      <c r="C59" s="111"/>
      <c r="E59" s="32" t="s">
        <v>54</v>
      </c>
      <c r="F59" s="30"/>
      <c r="G59" s="30"/>
      <c r="H59" s="30"/>
      <c r="I59" s="30"/>
      <c r="J59" s="30"/>
      <c r="K59" s="30"/>
      <c r="L59" s="30"/>
      <c r="M59" s="30"/>
      <c r="N59" s="30"/>
      <c r="O59" s="30"/>
    </row>
    <row r="60" spans="1:15" ht="16.5">
      <c r="C60" s="111"/>
      <c r="E60" s="32" t="s">
        <v>175</v>
      </c>
      <c r="F60" s="30"/>
      <c r="G60" s="30"/>
      <c r="H60" s="30"/>
      <c r="I60" s="30"/>
      <c r="J60" s="30"/>
      <c r="K60" s="30"/>
      <c r="L60" s="30"/>
      <c r="M60" s="30"/>
      <c r="N60" s="30"/>
      <c r="O60" s="30"/>
    </row>
    <row r="61" spans="1:15" ht="16.5">
      <c r="C61" s="111"/>
      <c r="E61" s="32" t="s">
        <v>174</v>
      </c>
      <c r="F61" s="30"/>
      <c r="G61" s="30"/>
      <c r="H61" s="30"/>
      <c r="I61" s="30"/>
      <c r="J61" s="30"/>
      <c r="K61" s="30"/>
      <c r="L61" s="30"/>
      <c r="M61" s="30"/>
      <c r="N61" s="30"/>
      <c r="O61" s="30"/>
    </row>
    <row r="62" spans="1:15" ht="16.5">
      <c r="C62" s="111"/>
      <c r="E62" s="32" t="s">
        <v>55</v>
      </c>
      <c r="F62" s="30"/>
      <c r="G62" s="30"/>
      <c r="H62" s="30"/>
      <c r="I62" s="30"/>
      <c r="J62" s="30"/>
      <c r="K62" s="30"/>
      <c r="L62" s="30"/>
      <c r="M62" s="30"/>
      <c r="N62" s="30"/>
      <c r="O62" s="30"/>
    </row>
    <row r="63" spans="1:15">
      <c r="C63" s="111"/>
      <c r="E63" s="22" t="s">
        <v>56</v>
      </c>
      <c r="F63" s="22" t="e">
        <f>F62/F59</f>
        <v>#DIV/0!</v>
      </c>
      <c r="G63" s="22" t="e">
        <f t="shared" ref="G63:O63" si="19">G62/G59</f>
        <v>#DIV/0!</v>
      </c>
      <c r="H63" s="22" t="e">
        <f t="shared" si="19"/>
        <v>#DIV/0!</v>
      </c>
      <c r="I63" s="22" t="e">
        <f t="shared" si="19"/>
        <v>#DIV/0!</v>
      </c>
      <c r="J63" s="22" t="e">
        <f t="shared" si="19"/>
        <v>#DIV/0!</v>
      </c>
      <c r="K63" s="22" t="e">
        <f t="shared" si="19"/>
        <v>#DIV/0!</v>
      </c>
      <c r="L63" s="22" t="e">
        <f t="shared" si="19"/>
        <v>#DIV/0!</v>
      </c>
      <c r="M63" s="22" t="e">
        <f t="shared" si="19"/>
        <v>#DIV/0!</v>
      </c>
      <c r="N63" s="22" t="e">
        <f t="shared" si="19"/>
        <v>#DIV/0!</v>
      </c>
      <c r="O63" s="22" t="e">
        <f t="shared" si="19"/>
        <v>#DIV/0!</v>
      </c>
    </row>
    <row r="64" spans="1:15">
      <c r="C64" s="111"/>
      <c r="E64" s="22" t="s">
        <v>144</v>
      </c>
      <c r="F64" s="22" t="e">
        <f>F58/F57</f>
        <v>#DIV/0!</v>
      </c>
      <c r="G64" s="22" t="e">
        <f t="shared" ref="G64:O64" si="20">G58/G57</f>
        <v>#DIV/0!</v>
      </c>
      <c r="H64" s="22" t="e">
        <f t="shared" si="20"/>
        <v>#DIV/0!</v>
      </c>
      <c r="I64" s="22" t="e">
        <f t="shared" si="20"/>
        <v>#DIV/0!</v>
      </c>
      <c r="J64" s="22" t="e">
        <f t="shared" si="20"/>
        <v>#DIV/0!</v>
      </c>
      <c r="K64" s="22" t="e">
        <f t="shared" si="20"/>
        <v>#DIV/0!</v>
      </c>
      <c r="L64" s="22" t="e">
        <f t="shared" si="20"/>
        <v>#DIV/0!</v>
      </c>
      <c r="M64" s="22" t="e">
        <f t="shared" si="20"/>
        <v>#DIV/0!</v>
      </c>
      <c r="N64" s="22" t="e">
        <f t="shared" si="20"/>
        <v>#DIV/0!</v>
      </c>
      <c r="O64" s="22" t="e">
        <f t="shared" si="20"/>
        <v>#DIV/0!</v>
      </c>
    </row>
    <row r="65" spans="1:15">
      <c r="C65" s="111"/>
      <c r="E65" s="22" t="s">
        <v>145</v>
      </c>
      <c r="F65" s="22" t="e">
        <f>F58/F59</f>
        <v>#DIV/0!</v>
      </c>
      <c r="G65" s="22" t="e">
        <f t="shared" ref="G65:O65" si="21">G58/G59</f>
        <v>#DIV/0!</v>
      </c>
      <c r="H65" s="22" t="e">
        <f t="shared" si="21"/>
        <v>#DIV/0!</v>
      </c>
      <c r="I65" s="22" t="e">
        <f t="shared" si="21"/>
        <v>#DIV/0!</v>
      </c>
      <c r="J65" s="22" t="e">
        <f t="shared" si="21"/>
        <v>#DIV/0!</v>
      </c>
      <c r="K65" s="22" t="e">
        <f t="shared" si="21"/>
        <v>#DIV/0!</v>
      </c>
      <c r="L65" s="22" t="e">
        <f t="shared" si="21"/>
        <v>#DIV/0!</v>
      </c>
      <c r="M65" s="22" t="e">
        <f t="shared" si="21"/>
        <v>#DIV/0!</v>
      </c>
      <c r="N65" s="22" t="e">
        <f t="shared" si="21"/>
        <v>#DIV/0!</v>
      </c>
      <c r="O65" s="22" t="e">
        <f t="shared" si="21"/>
        <v>#DIV/0!</v>
      </c>
    </row>
    <row r="66" spans="1:15">
      <c r="E66" s="21"/>
      <c r="F66" s="21"/>
      <c r="G66" s="21"/>
      <c r="H66" s="21"/>
      <c r="I66" s="21"/>
      <c r="J66" s="21"/>
      <c r="K66" s="21"/>
      <c r="L66" s="21"/>
      <c r="M66" s="21"/>
      <c r="N66" s="21"/>
      <c r="O66" s="21"/>
    </row>
    <row r="67" spans="1:15" ht="16.5" customHeight="1">
      <c r="A67" s="109" t="s">
        <v>57</v>
      </c>
      <c r="B67" s="109"/>
      <c r="C67" s="110" t="s">
        <v>58</v>
      </c>
      <c r="E67" s="32" t="s">
        <v>59</v>
      </c>
      <c r="F67" s="29"/>
      <c r="G67" s="29"/>
      <c r="H67" s="30"/>
      <c r="I67" s="30"/>
      <c r="J67" s="29"/>
      <c r="K67" s="30"/>
      <c r="L67" s="30"/>
      <c r="M67" s="30"/>
      <c r="N67" s="30"/>
      <c r="O67" s="30"/>
    </row>
    <row r="68" spans="1:15" ht="16.5" customHeight="1">
      <c r="A68" s="109"/>
      <c r="B68" s="109"/>
      <c r="C68" s="110"/>
      <c r="E68" s="32" t="s">
        <v>164</v>
      </c>
      <c r="F68" s="29"/>
      <c r="G68" s="29"/>
      <c r="H68" s="30"/>
      <c r="I68" s="30"/>
      <c r="J68" s="29"/>
      <c r="K68" s="30"/>
      <c r="L68" s="30"/>
      <c r="M68" s="30"/>
      <c r="N68" s="30"/>
      <c r="O68" s="30"/>
    </row>
    <row r="69" spans="1:15" ht="16.5">
      <c r="C69" s="110"/>
      <c r="E69" s="32" t="s">
        <v>60</v>
      </c>
      <c r="F69" s="29"/>
      <c r="G69" s="29"/>
      <c r="H69" s="30"/>
      <c r="I69" s="30"/>
      <c r="J69" s="29"/>
      <c r="K69" s="30"/>
      <c r="L69" s="30"/>
      <c r="M69" s="30"/>
      <c r="N69" s="30"/>
      <c r="O69" s="30"/>
    </row>
    <row r="70" spans="1:15" ht="16.5">
      <c r="C70" s="110"/>
      <c r="E70" s="32" t="s">
        <v>61</v>
      </c>
      <c r="F70" s="29"/>
      <c r="G70" s="29"/>
      <c r="H70" s="30"/>
      <c r="I70" s="30"/>
      <c r="J70" s="29"/>
      <c r="K70" s="30"/>
      <c r="L70" s="30"/>
      <c r="M70" s="30"/>
      <c r="N70" s="30"/>
      <c r="O70" s="30"/>
    </row>
    <row r="71" spans="1:15" ht="16.5">
      <c r="C71" s="110"/>
      <c r="E71" s="32" t="s">
        <v>62</v>
      </c>
      <c r="F71" s="29"/>
      <c r="G71" s="29"/>
      <c r="H71" s="30"/>
      <c r="I71" s="30"/>
      <c r="J71" s="29"/>
      <c r="K71" s="30"/>
      <c r="L71" s="30"/>
      <c r="M71" s="30"/>
      <c r="N71" s="30"/>
      <c r="O71" s="30"/>
    </row>
    <row r="72" spans="1:15" ht="16.5">
      <c r="C72" s="110"/>
      <c r="E72" s="32" t="s">
        <v>63</v>
      </c>
      <c r="F72" s="29"/>
      <c r="G72" s="29"/>
      <c r="H72" s="30"/>
      <c r="I72" s="30"/>
      <c r="J72" s="29"/>
      <c r="K72" s="30"/>
      <c r="L72" s="30"/>
      <c r="M72" s="30"/>
      <c r="N72" s="30"/>
      <c r="O72" s="30"/>
    </row>
    <row r="73" spans="1:15" ht="16.5">
      <c r="C73" s="110"/>
      <c r="E73" s="32" t="s">
        <v>163</v>
      </c>
      <c r="F73" s="29"/>
      <c r="G73" s="29"/>
      <c r="H73" s="30"/>
      <c r="I73" s="30"/>
      <c r="J73" s="29"/>
      <c r="K73" s="30"/>
      <c r="L73" s="30"/>
      <c r="M73" s="30"/>
      <c r="N73" s="30"/>
      <c r="O73" s="30"/>
    </row>
    <row r="74" spans="1:15" ht="16.5">
      <c r="C74" s="110"/>
      <c r="E74" s="32" t="s">
        <v>46</v>
      </c>
      <c r="F74" s="29"/>
      <c r="G74" s="29"/>
      <c r="H74" s="30"/>
      <c r="I74" s="30"/>
      <c r="J74" s="29"/>
      <c r="K74" s="30"/>
      <c r="L74" s="30"/>
      <c r="M74" s="30"/>
      <c r="N74" s="30"/>
      <c r="O74" s="30"/>
    </row>
    <row r="75" spans="1:15" ht="16.5">
      <c r="E75" s="18"/>
      <c r="F75" s="20"/>
      <c r="G75" s="20"/>
      <c r="H75" s="21"/>
      <c r="I75" s="21"/>
      <c r="J75" s="20"/>
      <c r="K75" s="21"/>
      <c r="L75" s="21"/>
      <c r="M75" s="21"/>
      <c r="N75" s="21"/>
      <c r="O75" s="21"/>
    </row>
    <row r="76" spans="1:15" ht="16.5" customHeight="1">
      <c r="C76" s="110" t="s">
        <v>64</v>
      </c>
      <c r="E76" s="32" t="s">
        <v>59</v>
      </c>
      <c r="F76" s="29"/>
      <c r="G76" s="29"/>
      <c r="H76" s="30"/>
      <c r="I76" s="30"/>
      <c r="J76" s="29"/>
      <c r="K76" s="30"/>
      <c r="L76" s="30"/>
      <c r="M76" s="30"/>
      <c r="N76" s="30"/>
      <c r="O76" s="30"/>
    </row>
    <row r="77" spans="1:15" ht="16.5">
      <c r="C77" s="110"/>
      <c r="E77" s="32" t="s">
        <v>164</v>
      </c>
      <c r="F77" s="29"/>
      <c r="G77" s="29"/>
      <c r="H77" s="30"/>
      <c r="I77" s="30"/>
      <c r="J77" s="29"/>
      <c r="K77" s="30"/>
      <c r="L77" s="30"/>
      <c r="M77" s="30"/>
      <c r="N77" s="30"/>
      <c r="O77" s="30"/>
    </row>
    <row r="78" spans="1:15" ht="16.5">
      <c r="C78" s="110"/>
      <c r="E78" s="32" t="s">
        <v>60</v>
      </c>
      <c r="F78" s="29"/>
      <c r="G78" s="29"/>
      <c r="H78" s="30"/>
      <c r="I78" s="30"/>
      <c r="J78" s="29"/>
      <c r="K78" s="30"/>
      <c r="L78" s="30"/>
      <c r="M78" s="30"/>
      <c r="N78" s="30"/>
      <c r="O78" s="30"/>
    </row>
    <row r="79" spans="1:15" ht="16.5">
      <c r="C79" s="110"/>
      <c r="E79" s="32" t="s">
        <v>61</v>
      </c>
      <c r="F79" s="29"/>
      <c r="G79" s="29"/>
      <c r="H79" s="30"/>
      <c r="I79" s="30"/>
      <c r="J79" s="29"/>
      <c r="K79" s="30"/>
      <c r="L79" s="30"/>
      <c r="M79" s="30"/>
      <c r="N79" s="30"/>
      <c r="O79" s="30"/>
    </row>
    <row r="80" spans="1:15" ht="16.5">
      <c r="C80" s="110"/>
      <c r="E80" s="32" t="s">
        <v>62</v>
      </c>
      <c r="F80" s="29"/>
      <c r="G80" s="29"/>
      <c r="H80" s="30"/>
      <c r="I80" s="30"/>
      <c r="J80" s="29"/>
      <c r="K80" s="30"/>
      <c r="L80" s="30"/>
      <c r="M80" s="30"/>
      <c r="N80" s="30"/>
      <c r="O80" s="30"/>
    </row>
    <row r="81" spans="3:15" ht="16.5">
      <c r="C81" s="110"/>
      <c r="E81" s="32" t="s">
        <v>63</v>
      </c>
      <c r="F81" s="29"/>
      <c r="G81" s="29"/>
      <c r="H81" s="30"/>
      <c r="I81" s="30"/>
      <c r="J81" s="29"/>
      <c r="K81" s="30"/>
      <c r="L81" s="30"/>
      <c r="M81" s="30"/>
      <c r="N81" s="30"/>
      <c r="O81" s="30"/>
    </row>
    <row r="82" spans="3:15" ht="16.5">
      <c r="C82" s="110"/>
      <c r="E82" s="32" t="s">
        <v>163</v>
      </c>
      <c r="F82" s="29"/>
      <c r="G82" s="29"/>
      <c r="H82" s="30"/>
      <c r="I82" s="30"/>
      <c r="J82" s="29"/>
      <c r="K82" s="30"/>
      <c r="L82" s="30"/>
      <c r="M82" s="30"/>
      <c r="N82" s="30"/>
      <c r="O82" s="30"/>
    </row>
    <row r="83" spans="3:15" ht="16.5">
      <c r="C83" s="110"/>
      <c r="E83" s="32" t="s">
        <v>46</v>
      </c>
      <c r="F83" s="29"/>
      <c r="G83" s="29"/>
      <c r="H83" s="30"/>
      <c r="I83" s="30"/>
      <c r="J83" s="29"/>
      <c r="K83" s="30"/>
      <c r="L83" s="30"/>
      <c r="M83" s="30"/>
      <c r="N83" s="30"/>
      <c r="O83" s="30"/>
    </row>
    <row r="84" spans="3:15">
      <c r="E84" s="21"/>
      <c r="F84" s="20"/>
      <c r="G84" s="20"/>
      <c r="H84" s="21"/>
      <c r="I84" s="21"/>
      <c r="J84" s="20"/>
      <c r="K84" s="21"/>
      <c r="L84" s="21"/>
      <c r="M84" s="21"/>
      <c r="N84" s="21"/>
      <c r="O84" s="21"/>
    </row>
    <row r="85" spans="3:15" ht="14.25" customHeight="1">
      <c r="C85" s="110" t="s">
        <v>65</v>
      </c>
      <c r="D85" s="8" t="s">
        <v>66</v>
      </c>
      <c r="E85" s="32" t="s">
        <v>59</v>
      </c>
      <c r="F85" s="29"/>
      <c r="G85" s="29"/>
      <c r="H85" s="30"/>
      <c r="I85" s="30"/>
      <c r="J85" s="29"/>
      <c r="K85" s="30"/>
      <c r="L85" s="30"/>
      <c r="M85" s="30"/>
      <c r="N85" s="30"/>
      <c r="O85" s="30"/>
    </row>
    <row r="86" spans="3:15" ht="16.5">
      <c r="C86" s="110"/>
      <c r="E86" s="32" t="s">
        <v>164</v>
      </c>
      <c r="F86" s="29"/>
      <c r="G86" s="29"/>
      <c r="H86" s="30"/>
      <c r="I86" s="30"/>
      <c r="J86" s="29"/>
      <c r="K86" s="30"/>
      <c r="L86" s="30"/>
      <c r="M86" s="30"/>
      <c r="N86" s="30"/>
      <c r="O86" s="30"/>
    </row>
    <row r="87" spans="3:15" ht="16.5">
      <c r="C87" s="110"/>
      <c r="E87" s="32" t="s">
        <v>60</v>
      </c>
      <c r="F87" s="29"/>
      <c r="G87" s="29"/>
      <c r="H87" s="30"/>
      <c r="I87" s="30"/>
      <c r="J87" s="29"/>
      <c r="K87" s="30"/>
      <c r="L87" s="30"/>
      <c r="M87" s="30"/>
      <c r="N87" s="30"/>
      <c r="O87" s="30"/>
    </row>
    <row r="88" spans="3:15" ht="16.5">
      <c r="C88" s="110"/>
      <c r="E88" s="32" t="s">
        <v>61</v>
      </c>
      <c r="F88" s="29"/>
      <c r="G88" s="29"/>
      <c r="H88" s="30"/>
      <c r="I88" s="30"/>
      <c r="J88" s="29"/>
      <c r="K88" s="30"/>
      <c r="L88" s="30"/>
      <c r="M88" s="30"/>
      <c r="N88" s="30"/>
      <c r="O88" s="30"/>
    </row>
    <row r="89" spans="3:15" ht="16.5">
      <c r="C89" s="110"/>
      <c r="E89" s="32" t="s">
        <v>62</v>
      </c>
      <c r="F89" s="29"/>
      <c r="G89" s="29"/>
      <c r="H89" s="30"/>
      <c r="I89" s="30"/>
      <c r="J89" s="29"/>
      <c r="K89" s="30"/>
      <c r="L89" s="30"/>
      <c r="M89" s="30"/>
      <c r="N89" s="30"/>
      <c r="O89" s="30"/>
    </row>
    <row r="90" spans="3:15" ht="16.5">
      <c r="C90" s="110"/>
      <c r="E90" s="32" t="s">
        <v>63</v>
      </c>
      <c r="F90" s="29"/>
      <c r="G90" s="29"/>
      <c r="H90" s="30"/>
      <c r="I90" s="30"/>
      <c r="J90" s="29"/>
      <c r="K90" s="30"/>
      <c r="L90" s="30"/>
      <c r="M90" s="30"/>
      <c r="N90" s="30"/>
      <c r="O90" s="30"/>
    </row>
    <row r="91" spans="3:15" ht="16.5">
      <c r="C91" s="110"/>
      <c r="E91" s="32" t="s">
        <v>163</v>
      </c>
      <c r="F91" s="29"/>
      <c r="G91" s="29"/>
      <c r="H91" s="30"/>
      <c r="I91" s="30"/>
      <c r="J91" s="29"/>
      <c r="K91" s="30"/>
      <c r="L91" s="30"/>
      <c r="M91" s="30"/>
      <c r="N91" s="30"/>
      <c r="O91" s="30"/>
    </row>
    <row r="92" spans="3:15" ht="16.5">
      <c r="C92" s="110"/>
      <c r="E92" s="32" t="s">
        <v>46</v>
      </c>
      <c r="F92" s="29"/>
      <c r="G92" s="29"/>
      <c r="H92" s="30"/>
      <c r="I92" s="30"/>
      <c r="J92" s="29"/>
      <c r="K92" s="30"/>
      <c r="L92" s="30"/>
      <c r="M92" s="30"/>
      <c r="N92" s="30"/>
      <c r="O92" s="30"/>
    </row>
    <row r="93" spans="3:15">
      <c r="E93" s="21"/>
      <c r="F93" s="20"/>
      <c r="G93" s="20"/>
      <c r="H93" s="21"/>
      <c r="I93" s="21"/>
      <c r="J93" s="20"/>
      <c r="K93" s="21"/>
      <c r="L93" s="21"/>
      <c r="M93" s="21"/>
      <c r="N93" s="21"/>
      <c r="O93" s="21"/>
    </row>
    <row r="94" spans="3:15" ht="16.5" customHeight="1">
      <c r="C94" s="110" t="s">
        <v>67</v>
      </c>
      <c r="E94" s="32" t="s">
        <v>59</v>
      </c>
      <c r="F94" s="29"/>
      <c r="G94" s="29"/>
      <c r="H94" s="30"/>
      <c r="I94" s="30"/>
      <c r="J94" s="29"/>
      <c r="K94" s="30"/>
      <c r="L94" s="30"/>
      <c r="M94" s="30"/>
      <c r="N94" s="30"/>
      <c r="O94" s="30"/>
    </row>
    <row r="95" spans="3:15" ht="16.5">
      <c r="C95" s="110"/>
      <c r="E95" s="32" t="s">
        <v>164</v>
      </c>
      <c r="F95" s="29"/>
      <c r="G95" s="29"/>
      <c r="H95" s="30"/>
      <c r="I95" s="30"/>
      <c r="J95" s="29"/>
      <c r="K95" s="30"/>
      <c r="L95" s="30"/>
      <c r="M95" s="30"/>
      <c r="N95" s="30"/>
      <c r="O95" s="30"/>
    </row>
    <row r="96" spans="3:15" ht="16.5">
      <c r="C96" s="110"/>
      <c r="E96" s="32" t="s">
        <v>60</v>
      </c>
      <c r="F96" s="29"/>
      <c r="G96" s="29"/>
      <c r="H96" s="30"/>
      <c r="I96" s="30"/>
      <c r="J96" s="29"/>
      <c r="K96" s="30"/>
      <c r="L96" s="30"/>
      <c r="M96" s="30"/>
      <c r="N96" s="30"/>
      <c r="O96" s="30"/>
    </row>
    <row r="97" spans="3:15" ht="16.5">
      <c r="C97" s="110"/>
      <c r="E97" s="32" t="s">
        <v>61</v>
      </c>
      <c r="F97" s="29"/>
      <c r="G97" s="29"/>
      <c r="H97" s="30"/>
      <c r="I97" s="30"/>
      <c r="J97" s="29"/>
      <c r="K97" s="30"/>
      <c r="L97" s="30"/>
      <c r="M97" s="30"/>
      <c r="N97" s="30"/>
      <c r="O97" s="30"/>
    </row>
    <row r="98" spans="3:15" ht="16.5">
      <c r="C98" s="110"/>
      <c r="E98" s="32" t="s">
        <v>62</v>
      </c>
      <c r="F98" s="29"/>
      <c r="G98" s="29"/>
      <c r="H98" s="30"/>
      <c r="I98" s="30"/>
      <c r="J98" s="29"/>
      <c r="K98" s="30"/>
      <c r="L98" s="30"/>
      <c r="M98" s="30"/>
      <c r="N98" s="30"/>
      <c r="O98" s="30"/>
    </row>
    <row r="99" spans="3:15" ht="16.5">
      <c r="C99" s="110"/>
      <c r="E99" s="32" t="s">
        <v>63</v>
      </c>
      <c r="F99" s="29"/>
      <c r="G99" s="29"/>
      <c r="H99" s="30"/>
      <c r="I99" s="30"/>
      <c r="J99" s="29"/>
      <c r="K99" s="30"/>
      <c r="L99" s="30"/>
      <c r="M99" s="30"/>
      <c r="N99" s="30"/>
      <c r="O99" s="30"/>
    </row>
    <row r="100" spans="3:15" ht="16.5">
      <c r="C100" s="110"/>
      <c r="E100" s="32" t="s">
        <v>163</v>
      </c>
      <c r="F100" s="29"/>
      <c r="G100" s="29"/>
      <c r="H100" s="30"/>
      <c r="I100" s="30"/>
      <c r="J100" s="29"/>
      <c r="K100" s="30"/>
      <c r="L100" s="30"/>
      <c r="M100" s="30"/>
      <c r="N100" s="30"/>
      <c r="O100" s="30"/>
    </row>
    <row r="101" spans="3:15" ht="16.5">
      <c r="C101" s="110"/>
      <c r="E101" s="32" t="s">
        <v>46</v>
      </c>
      <c r="F101" s="29"/>
      <c r="G101" s="29"/>
      <c r="H101" s="30"/>
      <c r="I101" s="30"/>
      <c r="J101" s="29"/>
      <c r="K101" s="30"/>
      <c r="L101" s="30"/>
      <c r="M101" s="30"/>
      <c r="N101" s="30"/>
      <c r="O101" s="30"/>
    </row>
    <row r="102" spans="3:15">
      <c r="E102" s="21"/>
      <c r="F102" s="20"/>
      <c r="G102" s="20"/>
      <c r="H102" s="21"/>
      <c r="I102" s="21"/>
      <c r="J102" s="20"/>
      <c r="K102" s="21"/>
      <c r="L102" s="21"/>
      <c r="M102" s="21"/>
      <c r="N102" s="21"/>
      <c r="O102" s="21"/>
    </row>
    <row r="103" spans="3:15" ht="16.5" customHeight="1">
      <c r="C103" s="111" t="s">
        <v>26</v>
      </c>
      <c r="D103" s="9" t="s">
        <v>68</v>
      </c>
      <c r="E103" s="22" t="s">
        <v>59</v>
      </c>
      <c r="F103" s="23" t="e">
        <f>F76/F67</f>
        <v>#DIV/0!</v>
      </c>
      <c r="G103" s="23" t="e">
        <f t="shared" ref="G103:O103" si="22">G76/G67</f>
        <v>#DIV/0!</v>
      </c>
      <c r="H103" s="23" t="e">
        <f t="shared" si="22"/>
        <v>#DIV/0!</v>
      </c>
      <c r="I103" s="23" t="e">
        <f t="shared" si="22"/>
        <v>#DIV/0!</v>
      </c>
      <c r="J103" s="23" t="e">
        <f t="shared" si="22"/>
        <v>#DIV/0!</v>
      </c>
      <c r="K103" s="23" t="e">
        <f t="shared" si="22"/>
        <v>#DIV/0!</v>
      </c>
      <c r="L103" s="23" t="e">
        <f t="shared" si="22"/>
        <v>#DIV/0!</v>
      </c>
      <c r="M103" s="23" t="e">
        <f t="shared" si="22"/>
        <v>#DIV/0!</v>
      </c>
      <c r="N103" s="23" t="e">
        <f t="shared" si="22"/>
        <v>#DIV/0!</v>
      </c>
      <c r="O103" s="23" t="e">
        <f t="shared" si="22"/>
        <v>#DIV/0!</v>
      </c>
    </row>
    <row r="104" spans="3:15">
      <c r="C104" s="111"/>
      <c r="D104" s="10" t="s">
        <v>69</v>
      </c>
      <c r="E104" s="22" t="s">
        <v>164</v>
      </c>
      <c r="F104" s="23" t="e">
        <f t="shared" ref="F104:O104" si="23">F77/F68</f>
        <v>#DIV/0!</v>
      </c>
      <c r="G104" s="23" t="e">
        <f t="shared" si="23"/>
        <v>#DIV/0!</v>
      </c>
      <c r="H104" s="23" t="e">
        <f t="shared" si="23"/>
        <v>#DIV/0!</v>
      </c>
      <c r="I104" s="23" t="e">
        <f t="shared" si="23"/>
        <v>#DIV/0!</v>
      </c>
      <c r="J104" s="23" t="e">
        <f t="shared" si="23"/>
        <v>#DIV/0!</v>
      </c>
      <c r="K104" s="23" t="e">
        <f t="shared" si="23"/>
        <v>#DIV/0!</v>
      </c>
      <c r="L104" s="23" t="e">
        <f t="shared" si="23"/>
        <v>#DIV/0!</v>
      </c>
      <c r="M104" s="23" t="e">
        <f t="shared" si="23"/>
        <v>#DIV/0!</v>
      </c>
      <c r="N104" s="23" t="e">
        <f t="shared" si="23"/>
        <v>#DIV/0!</v>
      </c>
      <c r="O104" s="23" t="e">
        <f t="shared" si="23"/>
        <v>#DIV/0!</v>
      </c>
    </row>
    <row r="105" spans="3:15">
      <c r="C105" s="111"/>
      <c r="E105" s="22" t="s">
        <v>60</v>
      </c>
      <c r="F105" s="23" t="e">
        <f t="shared" ref="F105:O105" si="24">F78/F69</f>
        <v>#DIV/0!</v>
      </c>
      <c r="G105" s="23" t="e">
        <f t="shared" si="24"/>
        <v>#DIV/0!</v>
      </c>
      <c r="H105" s="23" t="e">
        <f t="shared" si="24"/>
        <v>#DIV/0!</v>
      </c>
      <c r="I105" s="23" t="e">
        <f t="shared" si="24"/>
        <v>#DIV/0!</v>
      </c>
      <c r="J105" s="23" t="e">
        <f t="shared" si="24"/>
        <v>#DIV/0!</v>
      </c>
      <c r="K105" s="23" t="e">
        <f t="shared" si="24"/>
        <v>#DIV/0!</v>
      </c>
      <c r="L105" s="23" t="e">
        <f t="shared" si="24"/>
        <v>#DIV/0!</v>
      </c>
      <c r="M105" s="23" t="e">
        <f t="shared" si="24"/>
        <v>#DIV/0!</v>
      </c>
      <c r="N105" s="23" t="e">
        <f t="shared" si="24"/>
        <v>#DIV/0!</v>
      </c>
      <c r="O105" s="23" t="e">
        <f t="shared" si="24"/>
        <v>#DIV/0!</v>
      </c>
    </row>
    <row r="106" spans="3:15">
      <c r="C106" s="111"/>
      <c r="E106" s="22" t="s">
        <v>61</v>
      </c>
      <c r="F106" s="23" t="e">
        <f t="shared" ref="F106:O106" si="25">F79/F70</f>
        <v>#DIV/0!</v>
      </c>
      <c r="G106" s="23" t="e">
        <f t="shared" si="25"/>
        <v>#DIV/0!</v>
      </c>
      <c r="H106" s="23" t="e">
        <f t="shared" si="25"/>
        <v>#DIV/0!</v>
      </c>
      <c r="I106" s="23" t="e">
        <f t="shared" si="25"/>
        <v>#DIV/0!</v>
      </c>
      <c r="J106" s="23" t="e">
        <f t="shared" si="25"/>
        <v>#DIV/0!</v>
      </c>
      <c r="K106" s="23" t="e">
        <f t="shared" si="25"/>
        <v>#DIV/0!</v>
      </c>
      <c r="L106" s="23" t="e">
        <f t="shared" si="25"/>
        <v>#DIV/0!</v>
      </c>
      <c r="M106" s="23" t="e">
        <f t="shared" si="25"/>
        <v>#DIV/0!</v>
      </c>
      <c r="N106" s="23" t="e">
        <f t="shared" si="25"/>
        <v>#DIV/0!</v>
      </c>
      <c r="O106" s="23" t="e">
        <f t="shared" si="25"/>
        <v>#DIV/0!</v>
      </c>
    </row>
    <row r="107" spans="3:15">
      <c r="C107" s="111"/>
      <c r="E107" s="22" t="s">
        <v>62</v>
      </c>
      <c r="F107" s="23" t="e">
        <f t="shared" ref="F107:O107" si="26">F80/F71</f>
        <v>#DIV/0!</v>
      </c>
      <c r="G107" s="23" t="e">
        <f t="shared" si="26"/>
        <v>#DIV/0!</v>
      </c>
      <c r="H107" s="23" t="e">
        <f t="shared" si="26"/>
        <v>#DIV/0!</v>
      </c>
      <c r="I107" s="23" t="e">
        <f t="shared" si="26"/>
        <v>#DIV/0!</v>
      </c>
      <c r="J107" s="23" t="e">
        <f t="shared" si="26"/>
        <v>#DIV/0!</v>
      </c>
      <c r="K107" s="23" t="e">
        <f t="shared" si="26"/>
        <v>#DIV/0!</v>
      </c>
      <c r="L107" s="23" t="e">
        <f t="shared" si="26"/>
        <v>#DIV/0!</v>
      </c>
      <c r="M107" s="23" t="e">
        <f t="shared" si="26"/>
        <v>#DIV/0!</v>
      </c>
      <c r="N107" s="23" t="e">
        <f t="shared" si="26"/>
        <v>#DIV/0!</v>
      </c>
      <c r="O107" s="23" t="e">
        <f t="shared" si="26"/>
        <v>#DIV/0!</v>
      </c>
    </row>
    <row r="108" spans="3:15">
      <c r="C108" s="111"/>
      <c r="E108" s="22" t="s">
        <v>63</v>
      </c>
      <c r="F108" s="23" t="e">
        <f t="shared" ref="F108:O108" si="27">F81/F72</f>
        <v>#DIV/0!</v>
      </c>
      <c r="G108" s="23" t="e">
        <f t="shared" si="27"/>
        <v>#DIV/0!</v>
      </c>
      <c r="H108" s="23" t="e">
        <f t="shared" si="27"/>
        <v>#DIV/0!</v>
      </c>
      <c r="I108" s="23" t="e">
        <f t="shared" si="27"/>
        <v>#DIV/0!</v>
      </c>
      <c r="J108" s="23" t="e">
        <f t="shared" si="27"/>
        <v>#DIV/0!</v>
      </c>
      <c r="K108" s="23" t="e">
        <f t="shared" si="27"/>
        <v>#DIV/0!</v>
      </c>
      <c r="L108" s="23" t="e">
        <f t="shared" si="27"/>
        <v>#DIV/0!</v>
      </c>
      <c r="M108" s="23" t="e">
        <f t="shared" si="27"/>
        <v>#DIV/0!</v>
      </c>
      <c r="N108" s="23" t="e">
        <f t="shared" si="27"/>
        <v>#DIV/0!</v>
      </c>
      <c r="O108" s="23" t="e">
        <f t="shared" si="27"/>
        <v>#DIV/0!</v>
      </c>
    </row>
    <row r="109" spans="3:15">
      <c r="C109" s="111"/>
      <c r="E109" s="22" t="s">
        <v>163</v>
      </c>
      <c r="F109" s="23" t="e">
        <f>F82/F73</f>
        <v>#DIV/0!</v>
      </c>
      <c r="G109" s="23" t="e">
        <f t="shared" ref="G109:O109" si="28">G82/G73</f>
        <v>#DIV/0!</v>
      </c>
      <c r="H109" s="23" t="e">
        <f t="shared" si="28"/>
        <v>#DIV/0!</v>
      </c>
      <c r="I109" s="23" t="e">
        <f t="shared" si="28"/>
        <v>#DIV/0!</v>
      </c>
      <c r="J109" s="23" t="e">
        <f t="shared" si="28"/>
        <v>#DIV/0!</v>
      </c>
      <c r="K109" s="23" t="e">
        <f t="shared" si="28"/>
        <v>#DIV/0!</v>
      </c>
      <c r="L109" s="23" t="e">
        <f t="shared" si="28"/>
        <v>#DIV/0!</v>
      </c>
      <c r="M109" s="23" t="e">
        <f t="shared" si="28"/>
        <v>#DIV/0!</v>
      </c>
      <c r="N109" s="23" t="e">
        <f t="shared" si="28"/>
        <v>#DIV/0!</v>
      </c>
      <c r="O109" s="23" t="e">
        <f t="shared" si="28"/>
        <v>#DIV/0!</v>
      </c>
    </row>
    <row r="110" spans="3:15">
      <c r="C110" s="111"/>
      <c r="D110" s="9" t="s">
        <v>31</v>
      </c>
      <c r="E110" s="22" t="s">
        <v>59</v>
      </c>
      <c r="F110" s="23" t="e">
        <f t="shared" ref="F110:O110" si="29">1-(F94/F67)</f>
        <v>#DIV/0!</v>
      </c>
      <c r="G110" s="23" t="e">
        <f t="shared" si="29"/>
        <v>#DIV/0!</v>
      </c>
      <c r="H110" s="23" t="e">
        <f t="shared" si="29"/>
        <v>#DIV/0!</v>
      </c>
      <c r="I110" s="23" t="e">
        <f t="shared" si="29"/>
        <v>#DIV/0!</v>
      </c>
      <c r="J110" s="23" t="e">
        <f t="shared" si="29"/>
        <v>#DIV/0!</v>
      </c>
      <c r="K110" s="23" t="e">
        <f t="shared" si="29"/>
        <v>#DIV/0!</v>
      </c>
      <c r="L110" s="23" t="e">
        <f t="shared" si="29"/>
        <v>#DIV/0!</v>
      </c>
      <c r="M110" s="23" t="e">
        <f t="shared" si="29"/>
        <v>#DIV/0!</v>
      </c>
      <c r="N110" s="23" t="e">
        <f t="shared" si="29"/>
        <v>#DIV/0!</v>
      </c>
      <c r="O110" s="23" t="e">
        <f t="shared" si="29"/>
        <v>#DIV/0!</v>
      </c>
    </row>
    <row r="111" spans="3:15">
      <c r="C111" s="111"/>
      <c r="D111" s="10" t="s">
        <v>70</v>
      </c>
      <c r="E111" s="22" t="s">
        <v>164</v>
      </c>
      <c r="F111" s="23" t="e">
        <f t="shared" ref="F111:O111" si="30">1-(F95/F68)</f>
        <v>#DIV/0!</v>
      </c>
      <c r="G111" s="23" t="e">
        <f t="shared" si="30"/>
        <v>#DIV/0!</v>
      </c>
      <c r="H111" s="23" t="e">
        <f t="shared" si="30"/>
        <v>#DIV/0!</v>
      </c>
      <c r="I111" s="23" t="e">
        <f t="shared" si="30"/>
        <v>#DIV/0!</v>
      </c>
      <c r="J111" s="23" t="e">
        <f t="shared" si="30"/>
        <v>#DIV/0!</v>
      </c>
      <c r="K111" s="23" t="e">
        <f t="shared" si="30"/>
        <v>#DIV/0!</v>
      </c>
      <c r="L111" s="23" t="e">
        <f t="shared" si="30"/>
        <v>#DIV/0!</v>
      </c>
      <c r="M111" s="23" t="e">
        <f t="shared" si="30"/>
        <v>#DIV/0!</v>
      </c>
      <c r="N111" s="23" t="e">
        <f t="shared" si="30"/>
        <v>#DIV/0!</v>
      </c>
      <c r="O111" s="23" t="e">
        <f t="shared" si="30"/>
        <v>#DIV/0!</v>
      </c>
    </row>
    <row r="112" spans="3:15">
      <c r="C112" s="111"/>
      <c r="E112" s="22" t="s">
        <v>60</v>
      </c>
      <c r="F112" s="23" t="e">
        <f t="shared" ref="F112:O112" si="31">1-(F96/F69)</f>
        <v>#DIV/0!</v>
      </c>
      <c r="G112" s="23" t="e">
        <f t="shared" si="31"/>
        <v>#DIV/0!</v>
      </c>
      <c r="H112" s="23" t="e">
        <f t="shared" si="31"/>
        <v>#DIV/0!</v>
      </c>
      <c r="I112" s="23" t="e">
        <f t="shared" si="31"/>
        <v>#DIV/0!</v>
      </c>
      <c r="J112" s="23" t="e">
        <f t="shared" si="31"/>
        <v>#DIV/0!</v>
      </c>
      <c r="K112" s="23" t="e">
        <f t="shared" si="31"/>
        <v>#DIV/0!</v>
      </c>
      <c r="L112" s="23" t="e">
        <f t="shared" si="31"/>
        <v>#DIV/0!</v>
      </c>
      <c r="M112" s="23" t="e">
        <f t="shared" si="31"/>
        <v>#DIV/0!</v>
      </c>
      <c r="N112" s="23" t="e">
        <f t="shared" si="31"/>
        <v>#DIV/0!</v>
      </c>
      <c r="O112" s="23" t="e">
        <f t="shared" si="31"/>
        <v>#DIV/0!</v>
      </c>
    </row>
    <row r="113" spans="1:15">
      <c r="C113" s="111"/>
      <c r="E113" s="22" t="s">
        <v>61</v>
      </c>
      <c r="F113" s="23" t="e">
        <f t="shared" ref="F113:O113" si="32">1-(F97/F70)</f>
        <v>#DIV/0!</v>
      </c>
      <c r="G113" s="23" t="e">
        <f t="shared" si="32"/>
        <v>#DIV/0!</v>
      </c>
      <c r="H113" s="23" t="e">
        <f t="shared" si="32"/>
        <v>#DIV/0!</v>
      </c>
      <c r="I113" s="23" t="e">
        <f t="shared" si="32"/>
        <v>#DIV/0!</v>
      </c>
      <c r="J113" s="23" t="e">
        <f t="shared" si="32"/>
        <v>#DIV/0!</v>
      </c>
      <c r="K113" s="23" t="e">
        <f t="shared" si="32"/>
        <v>#DIV/0!</v>
      </c>
      <c r="L113" s="23" t="e">
        <f t="shared" si="32"/>
        <v>#DIV/0!</v>
      </c>
      <c r="M113" s="23" t="e">
        <f t="shared" si="32"/>
        <v>#DIV/0!</v>
      </c>
      <c r="N113" s="23" t="e">
        <f t="shared" si="32"/>
        <v>#DIV/0!</v>
      </c>
      <c r="O113" s="23" t="e">
        <f t="shared" si="32"/>
        <v>#DIV/0!</v>
      </c>
    </row>
    <row r="114" spans="1:15">
      <c r="C114" s="111"/>
      <c r="E114" s="22" t="s">
        <v>62</v>
      </c>
      <c r="F114" s="23" t="e">
        <f t="shared" ref="F114:O114" si="33">1-(F98/F71)</f>
        <v>#DIV/0!</v>
      </c>
      <c r="G114" s="23" t="e">
        <f t="shared" si="33"/>
        <v>#DIV/0!</v>
      </c>
      <c r="H114" s="23" t="e">
        <f t="shared" si="33"/>
        <v>#DIV/0!</v>
      </c>
      <c r="I114" s="23" t="e">
        <f t="shared" si="33"/>
        <v>#DIV/0!</v>
      </c>
      <c r="J114" s="23" t="e">
        <f t="shared" si="33"/>
        <v>#DIV/0!</v>
      </c>
      <c r="K114" s="23" t="e">
        <f t="shared" si="33"/>
        <v>#DIV/0!</v>
      </c>
      <c r="L114" s="23" t="e">
        <f t="shared" si="33"/>
        <v>#DIV/0!</v>
      </c>
      <c r="M114" s="23" t="e">
        <f t="shared" si="33"/>
        <v>#DIV/0!</v>
      </c>
      <c r="N114" s="23" t="e">
        <f t="shared" si="33"/>
        <v>#DIV/0!</v>
      </c>
      <c r="O114" s="23" t="e">
        <f t="shared" si="33"/>
        <v>#DIV/0!</v>
      </c>
    </row>
    <row r="115" spans="1:15">
      <c r="C115" s="111"/>
      <c r="E115" s="22" t="s">
        <v>63</v>
      </c>
      <c r="F115" s="23" t="e">
        <f t="shared" ref="F115:O116" si="34">1-(F99/F72)</f>
        <v>#DIV/0!</v>
      </c>
      <c r="G115" s="23" t="e">
        <f t="shared" si="34"/>
        <v>#DIV/0!</v>
      </c>
      <c r="H115" s="23" t="e">
        <f t="shared" si="34"/>
        <v>#DIV/0!</v>
      </c>
      <c r="I115" s="23" t="e">
        <f t="shared" si="34"/>
        <v>#DIV/0!</v>
      </c>
      <c r="J115" s="23" t="e">
        <f t="shared" si="34"/>
        <v>#DIV/0!</v>
      </c>
      <c r="K115" s="23" t="e">
        <f t="shared" si="34"/>
        <v>#DIV/0!</v>
      </c>
      <c r="L115" s="23" t="e">
        <f t="shared" si="34"/>
        <v>#DIV/0!</v>
      </c>
      <c r="M115" s="23" t="e">
        <f t="shared" si="34"/>
        <v>#DIV/0!</v>
      </c>
      <c r="N115" s="23" t="e">
        <f t="shared" si="34"/>
        <v>#DIV/0!</v>
      </c>
      <c r="O115" s="23" t="e">
        <f t="shared" si="34"/>
        <v>#DIV/0!</v>
      </c>
    </row>
    <row r="116" spans="1:15">
      <c r="C116" s="111"/>
      <c r="E116" s="22" t="s">
        <v>163</v>
      </c>
      <c r="F116" s="23" t="e">
        <f t="shared" si="34"/>
        <v>#DIV/0!</v>
      </c>
      <c r="G116" s="23" t="e">
        <f t="shared" si="34"/>
        <v>#DIV/0!</v>
      </c>
      <c r="H116" s="23" t="e">
        <f t="shared" si="34"/>
        <v>#DIV/0!</v>
      </c>
      <c r="I116" s="23" t="e">
        <f t="shared" si="34"/>
        <v>#DIV/0!</v>
      </c>
      <c r="J116" s="23" t="e">
        <f t="shared" si="34"/>
        <v>#DIV/0!</v>
      </c>
      <c r="K116" s="23" t="e">
        <f t="shared" si="34"/>
        <v>#DIV/0!</v>
      </c>
      <c r="L116" s="23" t="e">
        <f t="shared" si="34"/>
        <v>#DIV/0!</v>
      </c>
      <c r="M116" s="23" t="e">
        <f t="shared" si="34"/>
        <v>#DIV/0!</v>
      </c>
      <c r="N116" s="23" t="e">
        <f t="shared" si="34"/>
        <v>#DIV/0!</v>
      </c>
      <c r="O116" s="23" t="e">
        <f t="shared" si="34"/>
        <v>#DIV/0!</v>
      </c>
    </row>
    <row r="117" spans="1:15">
      <c r="E117" s="21"/>
      <c r="F117" s="25"/>
      <c r="G117" s="25"/>
      <c r="H117" s="21"/>
      <c r="I117" s="21"/>
      <c r="J117" s="21"/>
      <c r="K117" s="21"/>
      <c r="L117" s="21"/>
      <c r="M117" s="21"/>
      <c r="N117" s="21"/>
      <c r="O117" s="21"/>
    </row>
    <row r="118" spans="1:15">
      <c r="A118" s="109" t="s">
        <v>113</v>
      </c>
      <c r="B118" s="109"/>
      <c r="E118" s="30" t="s">
        <v>108</v>
      </c>
      <c r="F118" s="29" t="s">
        <v>233</v>
      </c>
      <c r="G118" s="29"/>
      <c r="H118" s="30"/>
      <c r="I118" s="30"/>
      <c r="J118" s="30"/>
      <c r="K118" s="30"/>
      <c r="L118" s="30"/>
      <c r="M118" s="30"/>
      <c r="N118" s="30"/>
      <c r="O118" s="30"/>
    </row>
    <row r="119" spans="1:15">
      <c r="A119" s="109"/>
      <c r="B119" s="109"/>
      <c r="E119" s="33" t="s">
        <v>109</v>
      </c>
      <c r="F119" s="34"/>
      <c r="G119" s="34"/>
      <c r="H119" s="34"/>
      <c r="I119" s="34"/>
      <c r="J119" s="34"/>
      <c r="K119" s="34"/>
      <c r="L119" s="34"/>
      <c r="M119" s="34"/>
      <c r="N119" s="34"/>
      <c r="O119" s="34"/>
    </row>
    <row r="120" spans="1:15">
      <c r="E120" s="22" t="s">
        <v>110</v>
      </c>
      <c r="F120" s="42" t="e">
        <f>F119/F118</f>
        <v>#VALUE!</v>
      </c>
      <c r="G120" s="42" t="e">
        <f t="shared" ref="G120:O120" si="35">G119/G118</f>
        <v>#DIV/0!</v>
      </c>
      <c r="H120" s="42" t="e">
        <f t="shared" si="35"/>
        <v>#DIV/0!</v>
      </c>
      <c r="I120" s="42" t="e">
        <f t="shared" si="35"/>
        <v>#DIV/0!</v>
      </c>
      <c r="J120" s="42" t="e">
        <f t="shared" si="35"/>
        <v>#DIV/0!</v>
      </c>
      <c r="K120" s="42" t="e">
        <f t="shared" si="35"/>
        <v>#DIV/0!</v>
      </c>
      <c r="L120" s="42" t="e">
        <f t="shared" si="35"/>
        <v>#DIV/0!</v>
      </c>
      <c r="M120" s="42" t="e">
        <f t="shared" si="35"/>
        <v>#DIV/0!</v>
      </c>
      <c r="N120" s="42" t="e">
        <f t="shared" si="35"/>
        <v>#DIV/0!</v>
      </c>
      <c r="O120" s="42" t="e">
        <f t="shared" si="35"/>
        <v>#DIV/0!</v>
      </c>
    </row>
    <row r="127" spans="1:15" s="92" customFormat="1">
      <c r="A127" s="93" t="s">
        <v>221</v>
      </c>
    </row>
  </sheetData>
  <mergeCells count="18">
    <mergeCell ref="A118:B119"/>
    <mergeCell ref="C76:C83"/>
    <mergeCell ref="C85:C92"/>
    <mergeCell ref="C94:C101"/>
    <mergeCell ref="C103:C116"/>
    <mergeCell ref="C44:C48"/>
    <mergeCell ref="C50:C55"/>
    <mergeCell ref="A57:B58"/>
    <mergeCell ref="C57:C65"/>
    <mergeCell ref="A67:B68"/>
    <mergeCell ref="C67:C74"/>
    <mergeCell ref="A34:B35"/>
    <mergeCell ref="C34:C42"/>
    <mergeCell ref="A2:B3"/>
    <mergeCell ref="C2:C8"/>
    <mergeCell ref="C10:C15"/>
    <mergeCell ref="C18:C22"/>
    <mergeCell ref="C24:C32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O127"/>
  <sheetViews>
    <sheetView zoomScale="85" zoomScaleNormal="85" workbookViewId="0">
      <pane xSplit="5" ySplit="1" topLeftCell="F5" activePane="bottomRight" state="frozen"/>
      <selection pane="topRight"/>
      <selection pane="bottomLeft"/>
      <selection pane="bottomRight" activeCell="F27" sqref="F27"/>
    </sheetView>
  </sheetViews>
  <sheetFormatPr defaultRowHeight="14.25"/>
  <cols>
    <col min="1" max="1" width="12.88671875" customWidth="1"/>
    <col min="3" max="3" width="5.88671875" customWidth="1"/>
    <col min="4" max="4" width="9.44140625" customWidth="1"/>
    <col min="5" max="5" width="57.21875" bestFit="1" customWidth="1"/>
    <col min="6" max="8" width="11.77734375" bestFit="1" customWidth="1"/>
    <col min="9" max="9" width="13.33203125" bestFit="1" customWidth="1"/>
    <col min="10" max="10" width="11.77734375" bestFit="1" customWidth="1"/>
    <col min="11" max="11" width="12.33203125" customWidth="1"/>
    <col min="12" max="12" width="11.21875" customWidth="1"/>
    <col min="13" max="13" width="11.6640625" customWidth="1"/>
  </cols>
  <sheetData>
    <row r="1" spans="1:15">
      <c r="A1" s="66" t="s">
        <v>2</v>
      </c>
      <c r="D1" s="2"/>
      <c r="E1" s="2" t="s">
        <v>3</v>
      </c>
      <c r="F1" s="2">
        <v>2011</v>
      </c>
      <c r="G1" s="2">
        <v>2012</v>
      </c>
      <c r="H1" s="2">
        <v>2013</v>
      </c>
      <c r="I1" s="2">
        <v>2014</v>
      </c>
      <c r="J1" s="2">
        <v>2015</v>
      </c>
      <c r="K1" s="2">
        <v>2016</v>
      </c>
      <c r="L1" s="3">
        <v>2017</v>
      </c>
      <c r="M1" s="3">
        <v>2018</v>
      </c>
      <c r="N1" s="3">
        <v>2019</v>
      </c>
      <c r="O1" s="3">
        <v>2020</v>
      </c>
    </row>
    <row r="2" spans="1:15" ht="16.5">
      <c r="A2" s="109" t="s">
        <v>4</v>
      </c>
      <c r="B2" s="109"/>
      <c r="C2" s="110" t="s">
        <v>5</v>
      </c>
      <c r="E2" s="32" t="s">
        <v>6</v>
      </c>
      <c r="F2" s="28"/>
      <c r="G2" s="28"/>
      <c r="H2" s="28"/>
      <c r="I2" s="28"/>
      <c r="J2" s="28">
        <v>281697916</v>
      </c>
      <c r="K2" s="28">
        <v>311160427</v>
      </c>
      <c r="L2" s="28"/>
      <c r="M2" s="28"/>
      <c r="N2" s="28"/>
      <c r="O2" s="28"/>
    </row>
    <row r="3" spans="1:15" ht="16.5">
      <c r="A3" s="109"/>
      <c r="B3" s="109"/>
      <c r="C3" s="110"/>
      <c r="E3" s="32" t="s">
        <v>7</v>
      </c>
      <c r="F3" s="29"/>
      <c r="G3" s="29"/>
      <c r="H3" s="29"/>
      <c r="I3" s="29"/>
      <c r="J3" s="29">
        <v>29569669</v>
      </c>
      <c r="K3" s="29">
        <v>30386374</v>
      </c>
      <c r="L3" s="30"/>
      <c r="M3" s="30"/>
      <c r="N3" s="30"/>
      <c r="O3" s="30"/>
    </row>
    <row r="4" spans="1:15" ht="16.5">
      <c r="C4" s="110"/>
      <c r="E4" s="32" t="s">
        <v>117</v>
      </c>
      <c r="F4" s="28"/>
      <c r="G4" s="28"/>
      <c r="H4" s="28"/>
      <c r="I4" s="28"/>
      <c r="J4" s="28">
        <v>7910604</v>
      </c>
      <c r="K4" s="28">
        <v>10521586</v>
      </c>
      <c r="L4" s="28"/>
      <c r="M4" s="28"/>
      <c r="N4" s="28"/>
      <c r="O4" s="28"/>
    </row>
    <row r="5" spans="1:15" ht="16.5">
      <c r="C5" s="110"/>
      <c r="E5" s="32" t="s">
        <v>8</v>
      </c>
      <c r="F5" s="29"/>
      <c r="G5" s="29"/>
      <c r="H5" s="29"/>
      <c r="I5" s="29"/>
      <c r="J5" s="29">
        <v>102532799</v>
      </c>
      <c r="K5" s="29">
        <v>113979471</v>
      </c>
      <c r="L5" s="31"/>
      <c r="M5" s="30"/>
      <c r="N5" s="30"/>
      <c r="O5" s="30"/>
    </row>
    <row r="6" spans="1:15" ht="16.5">
      <c r="A6" s="29" t="s">
        <v>219</v>
      </c>
      <c r="C6" s="110"/>
      <c r="E6" s="18" t="s">
        <v>116</v>
      </c>
      <c r="F6" s="20"/>
      <c r="G6" s="19">
        <f>G5-F5</f>
        <v>0</v>
      </c>
      <c r="H6" s="19">
        <f t="shared" ref="H6:O6" si="0">H5-G5</f>
        <v>0</v>
      </c>
      <c r="I6" s="19">
        <f t="shared" si="0"/>
        <v>0</v>
      </c>
      <c r="J6" s="19">
        <f t="shared" si="0"/>
        <v>102532799</v>
      </c>
      <c r="K6" s="19">
        <f t="shared" si="0"/>
        <v>11446672</v>
      </c>
      <c r="L6" s="19">
        <f t="shared" si="0"/>
        <v>-113979471</v>
      </c>
      <c r="M6" s="19">
        <f t="shared" si="0"/>
        <v>0</v>
      </c>
      <c r="N6" s="19">
        <f t="shared" si="0"/>
        <v>0</v>
      </c>
      <c r="O6" s="19">
        <f t="shared" si="0"/>
        <v>0</v>
      </c>
    </row>
    <row r="7" spans="1:15" ht="16.5">
      <c r="C7" s="110"/>
      <c r="D7" s="7" t="s">
        <v>32</v>
      </c>
      <c r="E7" s="18" t="s">
        <v>9</v>
      </c>
      <c r="F7" s="19">
        <f t="shared" ref="F7:O7" si="1">F2-F3-F4</f>
        <v>0</v>
      </c>
      <c r="G7" s="19">
        <f t="shared" si="1"/>
        <v>0</v>
      </c>
      <c r="H7" s="19">
        <f t="shared" si="1"/>
        <v>0</v>
      </c>
      <c r="I7" s="19">
        <f t="shared" si="1"/>
        <v>0</v>
      </c>
      <c r="J7" s="19">
        <f t="shared" si="1"/>
        <v>244217643</v>
      </c>
      <c r="K7" s="19">
        <f t="shared" si="1"/>
        <v>270252467</v>
      </c>
      <c r="L7" s="19">
        <f t="shared" si="1"/>
        <v>0</v>
      </c>
      <c r="M7" s="19">
        <f t="shared" si="1"/>
        <v>0</v>
      </c>
      <c r="N7" s="19">
        <f t="shared" si="1"/>
        <v>0</v>
      </c>
      <c r="O7" s="19">
        <f t="shared" si="1"/>
        <v>0</v>
      </c>
    </row>
    <row r="8" spans="1:15" ht="16.5">
      <c r="C8" s="110"/>
      <c r="D8" s="7" t="s">
        <v>27</v>
      </c>
      <c r="E8" s="18" t="s">
        <v>10</v>
      </c>
      <c r="F8" s="19">
        <f>F2-F6</f>
        <v>0</v>
      </c>
      <c r="G8" s="19">
        <f t="shared" ref="G8:O8" si="2">G2-G6</f>
        <v>0</v>
      </c>
      <c r="H8" s="19">
        <f t="shared" si="2"/>
        <v>0</v>
      </c>
      <c r="I8" s="19">
        <f t="shared" si="2"/>
        <v>0</v>
      </c>
      <c r="J8" s="19">
        <f t="shared" si="2"/>
        <v>179165117</v>
      </c>
      <c r="K8" s="19">
        <f t="shared" si="2"/>
        <v>299713755</v>
      </c>
      <c r="L8" s="19">
        <f t="shared" si="2"/>
        <v>113979471</v>
      </c>
      <c r="M8" s="19">
        <f t="shared" si="2"/>
        <v>0</v>
      </c>
      <c r="N8" s="19">
        <f t="shared" si="2"/>
        <v>0</v>
      </c>
      <c r="O8" s="19">
        <f t="shared" si="2"/>
        <v>0</v>
      </c>
    </row>
    <row r="9" spans="1:15" ht="16.5">
      <c r="E9" s="18"/>
      <c r="F9" s="20"/>
      <c r="G9" s="20"/>
      <c r="H9" s="20"/>
      <c r="I9" s="20"/>
      <c r="J9" s="20"/>
      <c r="K9" s="20"/>
      <c r="L9" s="21"/>
      <c r="M9" s="21"/>
      <c r="N9" s="21"/>
      <c r="O9" s="21"/>
    </row>
    <row r="10" spans="1:15" ht="16.5">
      <c r="C10" s="110" t="s">
        <v>11</v>
      </c>
      <c r="E10" s="32" t="s">
        <v>12</v>
      </c>
      <c r="F10" s="29"/>
      <c r="G10" s="29"/>
      <c r="H10" s="29"/>
      <c r="I10" s="29"/>
      <c r="J10" s="29">
        <v>160981566</v>
      </c>
      <c r="K10" s="29">
        <v>180480792</v>
      </c>
      <c r="L10" s="30"/>
      <c r="M10" s="30"/>
      <c r="N10" s="30"/>
      <c r="O10" s="30"/>
    </row>
    <row r="11" spans="1:15" ht="16.5">
      <c r="C11" s="110"/>
      <c r="E11" s="32" t="s">
        <v>13</v>
      </c>
      <c r="F11" s="29"/>
      <c r="G11" s="29"/>
      <c r="H11" s="29"/>
      <c r="I11" s="29"/>
      <c r="J11" s="29">
        <v>18406593</v>
      </c>
      <c r="K11" s="29">
        <v>18748506</v>
      </c>
      <c r="L11" s="30"/>
      <c r="M11" s="30"/>
      <c r="N11" s="30"/>
      <c r="O11" s="30"/>
    </row>
    <row r="12" spans="1:15" ht="16.5">
      <c r="C12" s="110"/>
      <c r="E12" s="18" t="s">
        <v>14</v>
      </c>
      <c r="F12" s="19">
        <f>F10-F11</f>
        <v>0</v>
      </c>
      <c r="G12" s="19">
        <f t="shared" ref="G12:H12" si="3">G10-G11</f>
        <v>0</v>
      </c>
      <c r="H12" s="19">
        <f t="shared" si="3"/>
        <v>0</v>
      </c>
      <c r="I12" s="19">
        <f>I10-I11</f>
        <v>0</v>
      </c>
      <c r="J12" s="19">
        <f>J10-J11</f>
        <v>142574973</v>
      </c>
      <c r="K12" s="19">
        <f>K10-K11</f>
        <v>161732286</v>
      </c>
      <c r="L12" s="19">
        <f t="shared" ref="L12:O12" si="4">L10-L11</f>
        <v>0</v>
      </c>
      <c r="M12" s="19">
        <f t="shared" si="4"/>
        <v>0</v>
      </c>
      <c r="N12" s="19">
        <f t="shared" si="4"/>
        <v>0</v>
      </c>
      <c r="O12" s="19">
        <f t="shared" si="4"/>
        <v>0</v>
      </c>
    </row>
    <row r="13" spans="1:15" ht="16.5">
      <c r="C13" s="110"/>
      <c r="E13" s="32" t="s">
        <v>15</v>
      </c>
      <c r="F13" s="29"/>
      <c r="G13" s="29"/>
      <c r="H13" s="29"/>
      <c r="I13" s="29"/>
      <c r="J13" s="29">
        <v>11691976</v>
      </c>
      <c r="K13" s="29">
        <v>13217201</v>
      </c>
      <c r="L13" s="30"/>
      <c r="M13" s="30"/>
      <c r="N13" s="30"/>
      <c r="O13" s="30"/>
    </row>
    <row r="14" spans="1:15" ht="16.5">
      <c r="C14" s="110"/>
      <c r="E14" s="32" t="s">
        <v>16</v>
      </c>
      <c r="F14" s="29"/>
      <c r="G14" s="29"/>
      <c r="H14" s="29"/>
      <c r="I14" s="29"/>
      <c r="J14" s="29">
        <v>996117</v>
      </c>
      <c r="K14" s="29">
        <v>3357853</v>
      </c>
      <c r="L14" s="30"/>
      <c r="M14" s="30"/>
      <c r="N14" s="30"/>
      <c r="O14" s="30"/>
    </row>
    <row r="15" spans="1:15" ht="16.5">
      <c r="C15" s="110"/>
      <c r="E15" s="18" t="s">
        <v>17</v>
      </c>
      <c r="F15" s="19">
        <f>F12+F13-F14</f>
        <v>0</v>
      </c>
      <c r="G15" s="19">
        <f t="shared" ref="G15:I15" si="5">G12+G13-G14</f>
        <v>0</v>
      </c>
      <c r="H15" s="19">
        <f t="shared" si="5"/>
        <v>0</v>
      </c>
      <c r="I15" s="19">
        <f t="shared" si="5"/>
        <v>0</v>
      </c>
      <c r="J15" s="19">
        <f>J12+J13-J14</f>
        <v>153270832</v>
      </c>
      <c r="K15" s="19">
        <f>K12+K13-K14</f>
        <v>171591634</v>
      </c>
      <c r="L15" s="19">
        <f t="shared" ref="L15:O15" si="6">L12+L13-L14</f>
        <v>0</v>
      </c>
      <c r="M15" s="19">
        <f t="shared" si="6"/>
        <v>0</v>
      </c>
      <c r="N15" s="19">
        <f t="shared" si="6"/>
        <v>0</v>
      </c>
      <c r="O15" s="19">
        <f t="shared" si="6"/>
        <v>0</v>
      </c>
    </row>
    <row r="16" spans="1:15" ht="16.5">
      <c r="C16" s="38"/>
      <c r="E16" s="32" t="s">
        <v>18</v>
      </c>
      <c r="F16" s="29"/>
      <c r="G16" s="29"/>
      <c r="H16" s="29"/>
      <c r="I16" s="29"/>
      <c r="J16" s="29">
        <v>534789</v>
      </c>
      <c r="K16" s="29">
        <v>37369</v>
      </c>
      <c r="L16" s="30"/>
      <c r="M16" s="30"/>
      <c r="N16" s="30"/>
      <c r="O16" s="30"/>
    </row>
    <row r="17" spans="1:15">
      <c r="E17" s="21"/>
      <c r="F17" s="20"/>
      <c r="G17" s="20"/>
      <c r="H17" s="20"/>
      <c r="I17" s="20"/>
      <c r="J17" s="21"/>
      <c r="K17" s="20"/>
      <c r="L17" s="21"/>
      <c r="M17" s="21"/>
      <c r="N17" s="21"/>
      <c r="O17" s="21"/>
    </row>
    <row r="18" spans="1:15" ht="16.5">
      <c r="C18" s="110" t="s">
        <v>19</v>
      </c>
      <c r="E18" s="32" t="s">
        <v>20</v>
      </c>
      <c r="F18" s="29"/>
      <c r="G18" s="29"/>
      <c r="H18" s="29"/>
      <c r="I18" s="29"/>
      <c r="J18" s="29">
        <v>206866</v>
      </c>
      <c r="K18" s="29">
        <v>186526</v>
      </c>
      <c r="L18" s="30"/>
      <c r="M18" s="30"/>
      <c r="N18" s="30"/>
      <c r="O18" s="30"/>
    </row>
    <row r="19" spans="1:15" ht="16.5">
      <c r="C19" s="110"/>
      <c r="E19" s="32" t="s">
        <v>21</v>
      </c>
      <c r="F19" s="29"/>
      <c r="G19" s="29"/>
      <c r="H19" s="29"/>
      <c r="I19" s="29"/>
      <c r="J19" s="29">
        <v>13682484</v>
      </c>
      <c r="K19" s="29">
        <v>6636011</v>
      </c>
      <c r="L19" s="30"/>
      <c r="M19" s="30"/>
      <c r="N19" s="30"/>
      <c r="O19" s="30"/>
    </row>
    <row r="20" spans="1:15" ht="16.5">
      <c r="C20" s="110"/>
      <c r="E20" s="32" t="s">
        <v>22</v>
      </c>
      <c r="F20" s="29"/>
      <c r="G20" s="29"/>
      <c r="H20" s="29"/>
      <c r="I20" s="29"/>
      <c r="J20" s="29">
        <v>31663198</v>
      </c>
      <c r="K20" s="29">
        <v>46964958</v>
      </c>
      <c r="L20" s="30"/>
      <c r="M20" s="30"/>
      <c r="N20" s="30"/>
      <c r="O20" s="30"/>
    </row>
    <row r="21" spans="1:15" ht="16.5">
      <c r="C21" s="110"/>
      <c r="E21" s="32" t="s">
        <v>23</v>
      </c>
      <c r="F21" s="29"/>
      <c r="G21" s="29"/>
      <c r="H21" s="29"/>
      <c r="I21" s="29"/>
      <c r="J21" s="29">
        <v>47061997</v>
      </c>
      <c r="K21" s="29">
        <v>50393056</v>
      </c>
      <c r="L21" s="30"/>
      <c r="M21" s="30"/>
      <c r="N21" s="30"/>
      <c r="O21" s="30"/>
    </row>
    <row r="22" spans="1:15" ht="16.5">
      <c r="C22" s="110"/>
      <c r="E22" s="32" t="s">
        <v>24</v>
      </c>
      <c r="F22" s="29"/>
      <c r="G22" s="29"/>
      <c r="H22" s="29"/>
      <c r="I22" s="29"/>
      <c r="J22" s="29">
        <v>9909085</v>
      </c>
      <c r="K22" s="29">
        <v>10239590</v>
      </c>
      <c r="L22" s="30"/>
      <c r="M22" s="30"/>
      <c r="N22" s="30"/>
      <c r="O22" s="30"/>
    </row>
    <row r="23" spans="1:15" ht="16.5">
      <c r="E23" s="18"/>
      <c r="F23" s="21"/>
      <c r="G23" s="21"/>
      <c r="H23" s="21"/>
      <c r="I23" s="21"/>
      <c r="J23" s="20"/>
      <c r="K23" s="21"/>
      <c r="L23" s="21"/>
      <c r="M23" s="21"/>
      <c r="N23" s="21"/>
      <c r="O23" s="21"/>
    </row>
    <row r="24" spans="1:15">
      <c r="A24" t="s">
        <v>25</v>
      </c>
      <c r="C24" s="111" t="s">
        <v>26</v>
      </c>
      <c r="D24" s="7" t="s">
        <v>27</v>
      </c>
      <c r="E24" s="22" t="s">
        <v>28</v>
      </c>
      <c r="F24" s="23" t="e">
        <f>F10/F8</f>
        <v>#DIV/0!</v>
      </c>
      <c r="G24" s="23" t="e">
        <f t="shared" ref="G24:O24" si="7">G10/G8</f>
        <v>#DIV/0!</v>
      </c>
      <c r="H24" s="23" t="e">
        <f t="shared" si="7"/>
        <v>#DIV/0!</v>
      </c>
      <c r="I24" s="23" t="e">
        <f t="shared" si="7"/>
        <v>#DIV/0!</v>
      </c>
      <c r="J24" s="23">
        <f t="shared" si="7"/>
        <v>0.89850953520154264</v>
      </c>
      <c r="K24" s="23">
        <f t="shared" si="7"/>
        <v>0.60217720738242397</v>
      </c>
      <c r="L24" s="23">
        <f t="shared" si="7"/>
        <v>0</v>
      </c>
      <c r="M24" s="23" t="e">
        <f t="shared" si="7"/>
        <v>#DIV/0!</v>
      </c>
      <c r="N24" s="23" t="e">
        <f t="shared" si="7"/>
        <v>#DIV/0!</v>
      </c>
      <c r="O24" s="23" t="e">
        <f t="shared" si="7"/>
        <v>#DIV/0!</v>
      </c>
    </row>
    <row r="25" spans="1:15">
      <c r="C25" s="111"/>
      <c r="E25" s="22" t="s">
        <v>29</v>
      </c>
      <c r="F25" s="23" t="e">
        <f>(F10+F13)/F8</f>
        <v>#DIV/0!</v>
      </c>
      <c r="G25" s="23" t="e">
        <f t="shared" ref="G25:O25" si="8">(G10+G13)/G8</f>
        <v>#DIV/0!</v>
      </c>
      <c r="H25" s="23" t="e">
        <f t="shared" si="8"/>
        <v>#DIV/0!</v>
      </c>
      <c r="I25" s="23" t="e">
        <f t="shared" si="8"/>
        <v>#DIV/0!</v>
      </c>
      <c r="J25" s="23">
        <f t="shared" si="8"/>
        <v>0.96376764010373739</v>
      </c>
      <c r="K25" s="23">
        <f t="shared" si="8"/>
        <v>0.6462766215050757</v>
      </c>
      <c r="L25" s="23">
        <f t="shared" si="8"/>
        <v>0</v>
      </c>
      <c r="M25" s="23" t="e">
        <f t="shared" si="8"/>
        <v>#DIV/0!</v>
      </c>
      <c r="N25" s="23" t="e">
        <f t="shared" si="8"/>
        <v>#DIV/0!</v>
      </c>
      <c r="O25" s="23" t="e">
        <f t="shared" si="8"/>
        <v>#DIV/0!</v>
      </c>
    </row>
    <row r="26" spans="1:15">
      <c r="C26" s="111"/>
      <c r="E26" s="22" t="s">
        <v>30</v>
      </c>
      <c r="F26" s="67" t="e">
        <f>SUM(F18:F21)/F8</f>
        <v>#DIV/0!</v>
      </c>
      <c r="G26" s="67" t="e">
        <f t="shared" ref="G26:O26" si="9">SUM(G18:G21)/G8</f>
        <v>#DIV/0!</v>
      </c>
      <c r="H26" s="67" t="e">
        <f t="shared" si="9"/>
        <v>#DIV/0!</v>
      </c>
      <c r="I26" s="67" t="e">
        <f>SUM(I18:I21)/I8</f>
        <v>#DIV/0!</v>
      </c>
      <c r="J26" s="67">
        <f t="shared" si="9"/>
        <v>0.51692286171978441</v>
      </c>
      <c r="K26" s="67">
        <f t="shared" si="9"/>
        <v>0.34760016603175253</v>
      </c>
      <c r="L26" s="67">
        <f t="shared" si="9"/>
        <v>0</v>
      </c>
      <c r="M26" s="67" t="e">
        <f t="shared" si="9"/>
        <v>#DIV/0!</v>
      </c>
      <c r="N26" s="67" t="e">
        <f t="shared" si="9"/>
        <v>#DIV/0!</v>
      </c>
      <c r="O26" s="67" t="e">
        <f t="shared" si="9"/>
        <v>#DIV/0!</v>
      </c>
    </row>
    <row r="27" spans="1:15">
      <c r="C27" s="111"/>
      <c r="E27" s="22" t="s">
        <v>111</v>
      </c>
      <c r="F27" s="24" t="e">
        <f>F25+F26</f>
        <v>#DIV/0!</v>
      </c>
      <c r="G27" s="24" t="e">
        <f t="shared" ref="G27:O27" si="10">G25+G26</f>
        <v>#DIV/0!</v>
      </c>
      <c r="H27" s="24" t="e">
        <f t="shared" si="10"/>
        <v>#DIV/0!</v>
      </c>
      <c r="I27" s="24" t="e">
        <f t="shared" si="10"/>
        <v>#DIV/0!</v>
      </c>
      <c r="J27" s="24">
        <f t="shared" si="10"/>
        <v>1.4806905018235219</v>
      </c>
      <c r="K27" s="24">
        <f t="shared" si="10"/>
        <v>0.99387678753682818</v>
      </c>
      <c r="L27" s="24">
        <f t="shared" si="10"/>
        <v>0</v>
      </c>
      <c r="M27" s="24" t="e">
        <f t="shared" si="10"/>
        <v>#DIV/0!</v>
      </c>
      <c r="N27" s="24" t="e">
        <f t="shared" si="10"/>
        <v>#DIV/0!</v>
      </c>
      <c r="O27" s="24" t="e">
        <f t="shared" si="10"/>
        <v>#DIV/0!</v>
      </c>
    </row>
    <row r="28" spans="1:15">
      <c r="C28" s="111"/>
      <c r="D28" s="7" t="s">
        <v>32</v>
      </c>
      <c r="E28" s="22" t="s">
        <v>28</v>
      </c>
      <c r="F28" s="23" t="e">
        <f>F12/F7</f>
        <v>#DIV/0!</v>
      </c>
      <c r="G28" s="23" t="e">
        <f t="shared" ref="G28:O28" si="11">G12/G7</f>
        <v>#DIV/0!</v>
      </c>
      <c r="H28" s="23" t="e">
        <f t="shared" si="11"/>
        <v>#DIV/0!</v>
      </c>
      <c r="I28" s="23" t="e">
        <f t="shared" si="11"/>
        <v>#DIV/0!</v>
      </c>
      <c r="J28" s="23">
        <f t="shared" si="11"/>
        <v>0.58380291959496144</v>
      </c>
      <c r="K28" s="23">
        <f t="shared" si="11"/>
        <v>0.59844887928442114</v>
      </c>
      <c r="L28" s="23" t="e">
        <f t="shared" si="11"/>
        <v>#DIV/0!</v>
      </c>
      <c r="M28" s="23" t="e">
        <f t="shared" si="11"/>
        <v>#DIV/0!</v>
      </c>
      <c r="N28" s="23" t="e">
        <f t="shared" si="11"/>
        <v>#DIV/0!</v>
      </c>
      <c r="O28" s="23" t="e">
        <f t="shared" si="11"/>
        <v>#DIV/0!</v>
      </c>
    </row>
    <row r="29" spans="1:15">
      <c r="C29" s="111"/>
      <c r="E29" s="22" t="s">
        <v>29</v>
      </c>
      <c r="F29" s="23" t="e">
        <f>F15/F7</f>
        <v>#DIV/0!</v>
      </c>
      <c r="G29" s="23" t="e">
        <f t="shared" ref="G29:O29" si="12">G15/G7</f>
        <v>#DIV/0!</v>
      </c>
      <c r="H29" s="23" t="e">
        <f t="shared" si="12"/>
        <v>#DIV/0!</v>
      </c>
      <c r="I29" s="23" t="e">
        <f t="shared" si="12"/>
        <v>#DIV/0!</v>
      </c>
      <c r="J29" s="23">
        <f t="shared" si="12"/>
        <v>0.62759934178875032</v>
      </c>
      <c r="K29" s="23">
        <f t="shared" si="12"/>
        <v>0.63493087002976367</v>
      </c>
      <c r="L29" s="23" t="e">
        <f t="shared" si="12"/>
        <v>#DIV/0!</v>
      </c>
      <c r="M29" s="23" t="e">
        <f t="shared" si="12"/>
        <v>#DIV/0!</v>
      </c>
      <c r="N29" s="23" t="e">
        <f t="shared" si="12"/>
        <v>#DIV/0!</v>
      </c>
      <c r="O29" s="23" t="e">
        <f t="shared" si="12"/>
        <v>#DIV/0!</v>
      </c>
    </row>
    <row r="30" spans="1:15">
      <c r="C30" s="111"/>
      <c r="E30" s="22" t="s">
        <v>30</v>
      </c>
      <c r="F30" s="23" t="e">
        <f>(SUM(F18:F21)-F22)/F7</f>
        <v>#DIV/0!</v>
      </c>
      <c r="G30" s="23" t="e">
        <f t="shared" ref="G30:O30" si="13">(SUM(G18:G21)-G22)/G7</f>
        <v>#DIV/0!</v>
      </c>
      <c r="H30" s="23" t="e">
        <f t="shared" si="13"/>
        <v>#DIV/0!</v>
      </c>
      <c r="I30" s="23" t="e">
        <f t="shared" si="13"/>
        <v>#DIV/0!</v>
      </c>
      <c r="J30" s="23">
        <f t="shared" si="13"/>
        <v>0.33865473019899711</v>
      </c>
      <c r="K30" s="23">
        <f t="shared" si="13"/>
        <v>0.34760445313529736</v>
      </c>
      <c r="L30" s="23" t="e">
        <f t="shared" si="13"/>
        <v>#DIV/0!</v>
      </c>
      <c r="M30" s="23" t="e">
        <f t="shared" si="13"/>
        <v>#DIV/0!</v>
      </c>
      <c r="N30" s="23" t="e">
        <f t="shared" si="13"/>
        <v>#DIV/0!</v>
      </c>
      <c r="O30" s="23" t="e">
        <f t="shared" si="13"/>
        <v>#DIV/0!</v>
      </c>
    </row>
    <row r="31" spans="1:15">
      <c r="C31" s="111"/>
      <c r="E31" s="22" t="s">
        <v>112</v>
      </c>
      <c r="F31" s="24" t="e">
        <f>F29+F30</f>
        <v>#DIV/0!</v>
      </c>
      <c r="G31" s="24" t="e">
        <f t="shared" ref="G31:O31" si="14">G29+G30</f>
        <v>#DIV/0!</v>
      </c>
      <c r="H31" s="24" t="e">
        <f t="shared" si="14"/>
        <v>#DIV/0!</v>
      </c>
      <c r="I31" s="24" t="e">
        <f t="shared" si="14"/>
        <v>#DIV/0!</v>
      </c>
      <c r="J31" s="24">
        <f t="shared" si="14"/>
        <v>0.96625407198774749</v>
      </c>
      <c r="K31" s="24">
        <f t="shared" si="14"/>
        <v>0.98253532316506109</v>
      </c>
      <c r="L31" s="24" t="e">
        <f t="shared" si="14"/>
        <v>#DIV/0!</v>
      </c>
      <c r="M31" s="24" t="e">
        <f t="shared" si="14"/>
        <v>#DIV/0!</v>
      </c>
      <c r="N31" s="24" t="e">
        <f t="shared" si="14"/>
        <v>#DIV/0!</v>
      </c>
      <c r="O31" s="24" t="e">
        <f t="shared" si="14"/>
        <v>#DIV/0!</v>
      </c>
    </row>
    <row r="32" spans="1:15">
      <c r="C32" s="111"/>
      <c r="E32" s="22" t="s">
        <v>33</v>
      </c>
      <c r="F32" s="23" t="e">
        <f>F3/F2</f>
        <v>#DIV/0!</v>
      </c>
      <c r="G32" s="23" t="e">
        <f t="shared" ref="G32:O32" si="15">G3/G2</f>
        <v>#DIV/0!</v>
      </c>
      <c r="H32" s="23" t="e">
        <f t="shared" si="15"/>
        <v>#DIV/0!</v>
      </c>
      <c r="I32" s="23" t="e">
        <f t="shared" si="15"/>
        <v>#DIV/0!</v>
      </c>
      <c r="J32" s="23">
        <f t="shared" si="15"/>
        <v>0.10496942760485313</v>
      </c>
      <c r="K32" s="23">
        <f t="shared" si="15"/>
        <v>9.7655008038666821E-2</v>
      </c>
      <c r="L32" s="23" t="e">
        <f t="shared" si="15"/>
        <v>#DIV/0!</v>
      </c>
      <c r="M32" s="23" t="e">
        <f t="shared" si="15"/>
        <v>#DIV/0!</v>
      </c>
      <c r="N32" s="23" t="e">
        <f t="shared" si="15"/>
        <v>#DIV/0!</v>
      </c>
      <c r="O32" s="23" t="e">
        <f t="shared" si="15"/>
        <v>#DIV/0!</v>
      </c>
    </row>
    <row r="33" spans="1:15"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</row>
    <row r="34" spans="1:15" ht="16.5" customHeight="1">
      <c r="A34" s="109" t="s">
        <v>34</v>
      </c>
      <c r="B34" s="109"/>
      <c r="C34" s="113" t="s">
        <v>35</v>
      </c>
      <c r="E34" s="32" t="s">
        <v>36</v>
      </c>
      <c r="F34" s="29"/>
      <c r="G34" s="29"/>
      <c r="H34" s="29"/>
      <c r="I34" s="29"/>
      <c r="J34" s="29">
        <v>15021048</v>
      </c>
      <c r="K34" s="29">
        <v>13793691</v>
      </c>
      <c r="L34" s="30"/>
      <c r="M34" s="30"/>
      <c r="N34" s="30"/>
      <c r="O34" s="30"/>
    </row>
    <row r="35" spans="1:15" ht="16.5" customHeight="1">
      <c r="A35" s="109"/>
      <c r="B35" s="109"/>
      <c r="C35" s="113"/>
      <c r="E35" s="32" t="s">
        <v>37</v>
      </c>
      <c r="F35" s="29"/>
      <c r="G35" s="29"/>
      <c r="H35" s="30"/>
      <c r="I35" s="29"/>
      <c r="J35" s="29">
        <v>8159</v>
      </c>
      <c r="K35" s="29">
        <v>3055</v>
      </c>
      <c r="L35" s="30"/>
      <c r="M35" s="30"/>
      <c r="N35" s="30"/>
      <c r="O35" s="30"/>
    </row>
    <row r="36" spans="1:15" ht="16.5">
      <c r="C36" s="113"/>
      <c r="E36" s="32" t="s">
        <v>38</v>
      </c>
      <c r="F36" s="29"/>
      <c r="G36" s="29"/>
      <c r="H36" s="29"/>
      <c r="I36" s="29"/>
      <c r="J36" s="29">
        <v>118839125</v>
      </c>
      <c r="K36" s="29">
        <v>122237850</v>
      </c>
      <c r="L36" s="30"/>
      <c r="M36" s="30"/>
      <c r="N36" s="30"/>
      <c r="O36" s="30"/>
    </row>
    <row r="37" spans="1:15" ht="16.5">
      <c r="C37" s="113"/>
      <c r="E37" s="32" t="s">
        <v>39</v>
      </c>
      <c r="F37" s="29"/>
      <c r="G37" s="29"/>
      <c r="H37" s="29"/>
      <c r="I37" s="29"/>
      <c r="J37" s="29">
        <v>42258798</v>
      </c>
      <c r="K37" s="29">
        <v>41651532</v>
      </c>
      <c r="L37" s="30"/>
      <c r="M37" s="30"/>
      <c r="N37" s="30"/>
      <c r="O37" s="30"/>
    </row>
    <row r="38" spans="1:15" ht="16.5">
      <c r="C38" s="113"/>
      <c r="E38" s="32" t="s">
        <v>40</v>
      </c>
      <c r="F38" s="29"/>
      <c r="G38" s="29"/>
      <c r="H38" s="29"/>
      <c r="I38" s="29"/>
      <c r="J38" s="29">
        <v>0</v>
      </c>
      <c r="K38" s="29">
        <v>0</v>
      </c>
      <c r="L38" s="30"/>
      <c r="M38" s="30"/>
      <c r="N38" s="30"/>
      <c r="O38" s="30"/>
    </row>
    <row r="39" spans="1:15" ht="16.5">
      <c r="C39" s="113"/>
      <c r="E39" s="32" t="s">
        <v>41</v>
      </c>
      <c r="F39" s="29"/>
      <c r="G39" s="29"/>
      <c r="H39" s="29"/>
      <c r="I39" s="29"/>
      <c r="J39" s="29">
        <v>98663258</v>
      </c>
      <c r="K39" s="29">
        <v>68286286</v>
      </c>
      <c r="L39" s="30"/>
      <c r="M39" s="30"/>
      <c r="N39" s="30"/>
      <c r="O39" s="30"/>
    </row>
    <row r="40" spans="1:15" ht="16.5">
      <c r="C40" s="113"/>
      <c r="E40" s="32" t="s">
        <v>90</v>
      </c>
      <c r="F40" s="29"/>
      <c r="G40" s="29"/>
      <c r="H40" s="29"/>
      <c r="I40" s="29"/>
      <c r="J40" s="29">
        <v>4941910</v>
      </c>
      <c r="K40" s="29">
        <v>5061980</v>
      </c>
      <c r="L40" s="30"/>
      <c r="M40" s="30"/>
      <c r="N40" s="30"/>
      <c r="O40" s="30"/>
    </row>
    <row r="41" spans="1:15" ht="16.5">
      <c r="C41" s="113"/>
      <c r="E41" s="32" t="s">
        <v>42</v>
      </c>
      <c r="F41" s="29"/>
      <c r="G41" s="29"/>
      <c r="H41" s="29"/>
      <c r="I41" s="29"/>
      <c r="J41" s="29">
        <v>30051764</v>
      </c>
      <c r="K41" s="29">
        <v>63854784</v>
      </c>
      <c r="L41" s="30"/>
      <c r="M41" s="30"/>
      <c r="N41" s="30"/>
      <c r="O41" s="30"/>
    </row>
    <row r="42" spans="1:15" ht="16.5">
      <c r="C42" s="113"/>
      <c r="E42" s="32" t="s">
        <v>96</v>
      </c>
      <c r="F42" s="29"/>
      <c r="G42" s="29"/>
      <c r="H42" s="31"/>
      <c r="I42" s="31"/>
      <c r="J42" s="29"/>
      <c r="K42" s="29"/>
      <c r="L42" s="30"/>
      <c r="M42" s="30"/>
      <c r="N42" s="30"/>
      <c r="O42" s="30"/>
    </row>
    <row r="43" spans="1:15"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</row>
    <row r="44" spans="1:15" ht="16.5">
      <c r="C44" s="114" t="s">
        <v>43</v>
      </c>
      <c r="E44" s="32" t="s">
        <v>44</v>
      </c>
      <c r="F44" s="31"/>
      <c r="G44" s="31"/>
      <c r="H44" s="29"/>
      <c r="I44" s="29"/>
      <c r="J44" s="31">
        <v>12334787</v>
      </c>
      <c r="K44" s="29">
        <v>12282804</v>
      </c>
      <c r="L44" s="30"/>
      <c r="M44" s="30"/>
      <c r="N44" s="30"/>
      <c r="O44" s="30"/>
    </row>
    <row r="45" spans="1:15" ht="16.5">
      <c r="C45" s="114"/>
      <c r="E45" s="32" t="s">
        <v>45</v>
      </c>
      <c r="F45" s="31"/>
      <c r="G45" s="31"/>
      <c r="H45" s="29"/>
      <c r="I45" s="29"/>
      <c r="J45" s="31">
        <v>1633938</v>
      </c>
      <c r="K45" s="29">
        <v>2465736</v>
      </c>
      <c r="L45" s="30"/>
      <c r="M45" s="30"/>
      <c r="N45" s="30"/>
      <c r="O45" s="30"/>
    </row>
    <row r="46" spans="1:15" ht="16.5">
      <c r="C46" s="114"/>
      <c r="E46" s="18" t="s">
        <v>46</v>
      </c>
      <c r="F46" s="20">
        <f t="shared" ref="F46:O46" si="16">F47-SUM(F44:F45)</f>
        <v>0</v>
      </c>
      <c r="G46" s="20">
        <f t="shared" si="16"/>
        <v>0</v>
      </c>
      <c r="H46" s="20">
        <f t="shared" si="16"/>
        <v>0</v>
      </c>
      <c r="I46" s="20">
        <f t="shared" si="16"/>
        <v>0</v>
      </c>
      <c r="J46" s="20">
        <f t="shared" si="16"/>
        <v>6815669</v>
      </c>
      <c r="K46" s="20">
        <f t="shared" si="16"/>
        <v>4121536</v>
      </c>
      <c r="L46" s="20">
        <f t="shared" si="16"/>
        <v>0</v>
      </c>
      <c r="M46" s="20">
        <f t="shared" si="16"/>
        <v>0</v>
      </c>
      <c r="N46" s="20">
        <f t="shared" si="16"/>
        <v>0</v>
      </c>
      <c r="O46" s="20">
        <f t="shared" si="16"/>
        <v>0</v>
      </c>
    </row>
    <row r="47" spans="1:15" ht="16.5">
      <c r="C47" s="114"/>
      <c r="E47" s="32" t="s">
        <v>47</v>
      </c>
      <c r="F47" s="28"/>
      <c r="G47" s="28"/>
      <c r="H47" s="28"/>
      <c r="I47" s="28"/>
      <c r="J47" s="28">
        <v>20784394</v>
      </c>
      <c r="K47" s="28">
        <v>18870076</v>
      </c>
      <c r="L47" s="28"/>
      <c r="M47" s="28"/>
      <c r="N47" s="28"/>
      <c r="O47" s="30"/>
    </row>
    <row r="48" spans="1:15" ht="16.5">
      <c r="C48" s="114"/>
      <c r="E48" s="32" t="s">
        <v>82</v>
      </c>
      <c r="F48" s="28"/>
      <c r="G48" s="28"/>
      <c r="H48" s="28"/>
      <c r="I48" s="28"/>
      <c r="J48" s="28">
        <v>227188</v>
      </c>
      <c r="K48" s="28">
        <v>-154679</v>
      </c>
      <c r="L48" s="30"/>
      <c r="M48" s="30"/>
      <c r="N48" s="30"/>
      <c r="O48" s="30"/>
    </row>
    <row r="49" spans="1:15"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</row>
    <row r="50" spans="1:15" ht="14.25" customHeight="1">
      <c r="C50" s="111" t="s">
        <v>26</v>
      </c>
      <c r="E50" s="22" t="s">
        <v>48</v>
      </c>
      <c r="F50" s="23" t="e">
        <f>(F47)/(SUM(F34:F42))</f>
        <v>#DIV/0!</v>
      </c>
      <c r="G50" s="23" t="e">
        <f t="shared" ref="G50:O50" si="17">(G47)/(SUM(G34:G42))</f>
        <v>#DIV/0!</v>
      </c>
      <c r="H50" s="23" t="e">
        <f t="shared" si="17"/>
        <v>#DIV/0!</v>
      </c>
      <c r="I50" s="23" t="e">
        <f t="shared" si="17"/>
        <v>#DIV/0!</v>
      </c>
      <c r="J50" s="23">
        <f t="shared" si="17"/>
        <v>6.709316762719704E-2</v>
      </c>
      <c r="K50" s="23">
        <f t="shared" si="17"/>
        <v>5.9926086122908929E-2</v>
      </c>
      <c r="L50" s="23" t="e">
        <f t="shared" si="17"/>
        <v>#DIV/0!</v>
      </c>
      <c r="M50" s="23" t="e">
        <f t="shared" si="17"/>
        <v>#DIV/0!</v>
      </c>
      <c r="N50" s="23" t="e">
        <f t="shared" si="17"/>
        <v>#DIV/0!</v>
      </c>
      <c r="O50" s="23" t="e">
        <f t="shared" si="17"/>
        <v>#DIV/0!</v>
      </c>
    </row>
    <row r="51" spans="1:15">
      <c r="C51" s="111"/>
      <c r="E51" s="22" t="s">
        <v>49</v>
      </c>
      <c r="F51" s="23" t="e">
        <f>(F47+F48)/SUM(F34:F42)</f>
        <v>#DIV/0!</v>
      </c>
      <c r="G51" s="23" t="e">
        <f t="shared" ref="G51:O51" si="18">(G47+G48)/SUM(G34:G42)</f>
        <v>#DIV/0!</v>
      </c>
      <c r="H51" s="23" t="e">
        <f t="shared" si="18"/>
        <v>#DIV/0!</v>
      </c>
      <c r="I51" s="23" t="e">
        <f t="shared" si="18"/>
        <v>#DIV/0!</v>
      </c>
      <c r="J51" s="23">
        <f t="shared" si="18"/>
        <v>6.7826542993680544E-2</v>
      </c>
      <c r="K51" s="23">
        <f t="shared" si="18"/>
        <v>5.9434868860434448E-2</v>
      </c>
      <c r="L51" s="23" t="e">
        <f t="shared" si="18"/>
        <v>#DIV/0!</v>
      </c>
      <c r="M51" s="23" t="e">
        <f t="shared" si="18"/>
        <v>#DIV/0!</v>
      </c>
      <c r="N51" s="23" t="e">
        <f t="shared" si="18"/>
        <v>#DIV/0!</v>
      </c>
      <c r="O51" s="23" t="e">
        <f t="shared" si="18"/>
        <v>#DIV/0!</v>
      </c>
    </row>
    <row r="52" spans="1:15">
      <c r="C52" s="11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</row>
    <row r="53" spans="1:15">
      <c r="C53" s="11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</row>
    <row r="54" spans="1:15" ht="14.25" customHeight="1">
      <c r="C54" s="111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</row>
    <row r="55" spans="1:15" ht="14.25" customHeight="1">
      <c r="C55" s="11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</row>
    <row r="56" spans="1:15" ht="16.5">
      <c r="E56" s="18"/>
      <c r="F56" s="21"/>
      <c r="G56" s="21"/>
      <c r="H56" s="21"/>
      <c r="I56" s="21"/>
      <c r="J56" s="21"/>
      <c r="K56" s="21"/>
      <c r="L56" s="21"/>
      <c r="M56" s="21"/>
      <c r="N56" s="21"/>
      <c r="O56" s="21"/>
    </row>
    <row r="57" spans="1:15" ht="14.25" customHeight="1">
      <c r="A57" s="109" t="s">
        <v>50</v>
      </c>
      <c r="B57" s="109"/>
      <c r="C57" s="111" t="s">
        <v>51</v>
      </c>
      <c r="E57" s="32" t="s">
        <v>52</v>
      </c>
      <c r="F57" s="30"/>
      <c r="G57" s="30"/>
      <c r="H57" s="30"/>
      <c r="I57" s="30"/>
      <c r="J57" s="29">
        <v>420454932</v>
      </c>
      <c r="K57" s="29">
        <v>476054844</v>
      </c>
      <c r="L57" s="30"/>
      <c r="M57" s="30"/>
      <c r="N57" s="30"/>
      <c r="O57" s="30"/>
    </row>
    <row r="58" spans="1:15" ht="16.5" customHeight="1">
      <c r="A58" s="109"/>
      <c r="B58" s="109"/>
      <c r="C58" s="111"/>
      <c r="E58" s="32" t="s">
        <v>53</v>
      </c>
      <c r="F58" s="30"/>
      <c r="G58" s="30"/>
      <c r="H58" s="30"/>
      <c r="I58" s="30"/>
      <c r="J58" s="29">
        <v>312515771</v>
      </c>
      <c r="K58" s="29">
        <v>357677536</v>
      </c>
      <c r="L58" s="30"/>
      <c r="M58" s="30"/>
      <c r="N58" s="30"/>
      <c r="O58" s="30"/>
    </row>
    <row r="59" spans="1:15" ht="16.5">
      <c r="C59" s="111"/>
      <c r="E59" s="32" t="s">
        <v>54</v>
      </c>
      <c r="F59" s="30"/>
      <c r="G59" s="30"/>
      <c r="H59" s="30"/>
      <c r="I59" s="30"/>
      <c r="J59" s="29">
        <v>107939161</v>
      </c>
      <c r="K59" s="29">
        <v>118377308</v>
      </c>
      <c r="L59" s="30"/>
      <c r="M59" s="30"/>
      <c r="N59" s="30"/>
      <c r="O59" s="30"/>
    </row>
    <row r="60" spans="1:15" ht="16.5">
      <c r="C60" s="111"/>
      <c r="E60" s="32" t="s">
        <v>175</v>
      </c>
      <c r="F60" s="30"/>
      <c r="G60" s="30"/>
      <c r="H60" s="30"/>
      <c r="I60" s="30"/>
      <c r="J60" s="29">
        <v>27242888</v>
      </c>
      <c r="K60" s="29">
        <v>22643468</v>
      </c>
      <c r="L60" s="30"/>
      <c r="M60" s="30"/>
      <c r="N60" s="30"/>
      <c r="O60" s="30"/>
    </row>
    <row r="61" spans="1:15" ht="16.5">
      <c r="C61" s="111"/>
      <c r="E61" s="32" t="s">
        <v>174</v>
      </c>
      <c r="F61" s="30"/>
      <c r="G61" s="30"/>
      <c r="H61" s="30"/>
      <c r="I61" s="30"/>
      <c r="J61" s="29">
        <v>27474131</v>
      </c>
      <c r="K61" s="29">
        <v>22554739</v>
      </c>
      <c r="L61" s="30"/>
      <c r="M61" s="30"/>
      <c r="N61" s="30"/>
      <c r="O61" s="30"/>
    </row>
    <row r="62" spans="1:15" ht="16.5">
      <c r="C62" s="111"/>
      <c r="E62" s="32" t="s">
        <v>55</v>
      </c>
      <c r="F62" s="30"/>
      <c r="G62" s="30"/>
      <c r="H62" s="30"/>
      <c r="I62" s="30"/>
      <c r="J62" s="29">
        <v>21300311</v>
      </c>
      <c r="K62" s="29">
        <v>18098269</v>
      </c>
      <c r="L62" s="30"/>
      <c r="M62" s="30"/>
      <c r="N62" s="30"/>
      <c r="O62" s="30"/>
    </row>
    <row r="63" spans="1:15">
      <c r="C63" s="111"/>
      <c r="E63" s="22" t="s">
        <v>56</v>
      </c>
      <c r="F63" s="22" t="e">
        <f>F62/F59</f>
        <v>#DIV/0!</v>
      </c>
      <c r="G63" s="22" t="e">
        <f t="shared" ref="G63:O63" si="19">G62/G59</f>
        <v>#DIV/0!</v>
      </c>
      <c r="H63" s="22" t="e">
        <f t="shared" si="19"/>
        <v>#DIV/0!</v>
      </c>
      <c r="I63" s="22" t="e">
        <f t="shared" si="19"/>
        <v>#DIV/0!</v>
      </c>
      <c r="J63" s="22">
        <f t="shared" si="19"/>
        <v>0.19733626612124583</v>
      </c>
      <c r="K63" s="22">
        <f t="shared" si="19"/>
        <v>0.15288630317560525</v>
      </c>
      <c r="L63" s="22" t="e">
        <f t="shared" si="19"/>
        <v>#DIV/0!</v>
      </c>
      <c r="M63" s="22" t="e">
        <f t="shared" si="19"/>
        <v>#DIV/0!</v>
      </c>
      <c r="N63" s="22" t="e">
        <f t="shared" si="19"/>
        <v>#DIV/0!</v>
      </c>
      <c r="O63" s="22" t="e">
        <f t="shared" si="19"/>
        <v>#DIV/0!</v>
      </c>
    </row>
    <row r="64" spans="1:15">
      <c r="C64" s="111"/>
      <c r="E64" s="22" t="s">
        <v>144</v>
      </c>
      <c r="F64" s="22" t="e">
        <f>F58/F57</f>
        <v>#DIV/0!</v>
      </c>
      <c r="G64" s="22" t="e">
        <f t="shared" ref="G64:O64" si="20">G58/G57</f>
        <v>#DIV/0!</v>
      </c>
      <c r="H64" s="22" t="e">
        <f t="shared" si="20"/>
        <v>#DIV/0!</v>
      </c>
      <c r="I64" s="22" t="e">
        <f t="shared" si="20"/>
        <v>#DIV/0!</v>
      </c>
      <c r="J64" s="22">
        <f t="shared" si="20"/>
        <v>0.74328006931311252</v>
      </c>
      <c r="K64" s="22">
        <f t="shared" si="20"/>
        <v>0.75133682706524463</v>
      </c>
      <c r="L64" s="22" t="e">
        <f t="shared" si="20"/>
        <v>#DIV/0!</v>
      </c>
      <c r="M64" s="22" t="e">
        <f t="shared" si="20"/>
        <v>#DIV/0!</v>
      </c>
      <c r="N64" s="22" t="e">
        <f t="shared" si="20"/>
        <v>#DIV/0!</v>
      </c>
      <c r="O64" s="22" t="e">
        <f t="shared" si="20"/>
        <v>#DIV/0!</v>
      </c>
    </row>
    <row r="65" spans="1:15">
      <c r="C65" s="111"/>
      <c r="E65" s="22" t="s">
        <v>145</v>
      </c>
      <c r="F65" s="22" t="e">
        <f>F58/F59</f>
        <v>#DIV/0!</v>
      </c>
      <c r="G65" s="22" t="e">
        <f t="shared" ref="G65:O65" si="21">G58/G59</f>
        <v>#DIV/0!</v>
      </c>
      <c r="H65" s="22" t="e">
        <f t="shared" si="21"/>
        <v>#DIV/0!</v>
      </c>
      <c r="I65" s="22" t="e">
        <f t="shared" si="21"/>
        <v>#DIV/0!</v>
      </c>
      <c r="J65" s="22">
        <f t="shared" si="21"/>
        <v>2.8952955359732693</v>
      </c>
      <c r="K65" s="22">
        <f t="shared" si="21"/>
        <v>3.0215042227518807</v>
      </c>
      <c r="L65" s="22" t="e">
        <f t="shared" si="21"/>
        <v>#DIV/0!</v>
      </c>
      <c r="M65" s="22" t="e">
        <f t="shared" si="21"/>
        <v>#DIV/0!</v>
      </c>
      <c r="N65" s="22" t="e">
        <f t="shared" si="21"/>
        <v>#DIV/0!</v>
      </c>
      <c r="O65" s="22" t="e">
        <f t="shared" si="21"/>
        <v>#DIV/0!</v>
      </c>
    </row>
    <row r="66" spans="1:15">
      <c r="E66" s="21"/>
      <c r="F66" s="21"/>
      <c r="G66" s="21"/>
      <c r="H66" s="21"/>
      <c r="I66" s="21"/>
      <c r="J66" s="21"/>
      <c r="K66" s="21"/>
      <c r="L66" s="21"/>
      <c r="M66" s="21"/>
      <c r="N66" s="21"/>
      <c r="O66" s="21"/>
    </row>
    <row r="67" spans="1:15" ht="16.5" customHeight="1">
      <c r="A67" s="109" t="s">
        <v>57</v>
      </c>
      <c r="B67" s="109"/>
      <c r="C67" s="110" t="s">
        <v>58</v>
      </c>
      <c r="E67" s="32" t="s">
        <v>59</v>
      </c>
      <c r="F67" s="29"/>
      <c r="G67" s="29"/>
      <c r="H67" s="30"/>
      <c r="I67" s="30"/>
      <c r="J67" s="29"/>
      <c r="K67" s="29">
        <v>225639589</v>
      </c>
      <c r="L67" s="30"/>
      <c r="M67" s="30"/>
      <c r="N67" s="30"/>
      <c r="O67" s="30"/>
    </row>
    <row r="68" spans="1:15" ht="16.5" customHeight="1">
      <c r="A68" s="109"/>
      <c r="B68" s="109"/>
      <c r="C68" s="110"/>
      <c r="E68" s="32" t="s">
        <v>164</v>
      </c>
      <c r="F68" s="29"/>
      <c r="G68" s="29"/>
      <c r="H68" s="30"/>
      <c r="I68" s="30"/>
      <c r="J68" s="29"/>
      <c r="K68" s="29">
        <v>12010551</v>
      </c>
      <c r="L68" s="30"/>
      <c r="M68" s="30"/>
      <c r="N68" s="30"/>
      <c r="O68" s="30"/>
    </row>
    <row r="69" spans="1:15" ht="16.5">
      <c r="C69" s="110"/>
      <c r="E69" s="32" t="s">
        <v>60</v>
      </c>
      <c r="F69" s="29"/>
      <c r="G69" s="29"/>
      <c r="H69" s="30"/>
      <c r="I69" s="30"/>
      <c r="J69" s="29"/>
      <c r="K69" s="29">
        <v>13700752</v>
      </c>
      <c r="L69" s="30"/>
      <c r="M69" s="30"/>
      <c r="N69" s="30"/>
      <c r="O69" s="30"/>
    </row>
    <row r="70" spans="1:15" ht="16.5">
      <c r="C70" s="110"/>
      <c r="E70" s="32" t="s">
        <v>61</v>
      </c>
      <c r="F70" s="29"/>
      <c r="G70" s="29"/>
      <c r="H70" s="30"/>
      <c r="I70" s="30"/>
      <c r="J70" s="29"/>
      <c r="K70" s="29">
        <v>2972465</v>
      </c>
      <c r="L70" s="30"/>
      <c r="M70" s="30"/>
      <c r="N70" s="30"/>
      <c r="O70" s="30"/>
    </row>
    <row r="71" spans="1:15" ht="16.5">
      <c r="C71" s="110"/>
      <c r="E71" s="32" t="s">
        <v>62</v>
      </c>
      <c r="F71" s="29"/>
      <c r="G71" s="29"/>
      <c r="H71" s="30"/>
      <c r="I71" s="30"/>
      <c r="J71" s="29"/>
      <c r="K71" s="29">
        <v>23430443</v>
      </c>
      <c r="L71" s="30"/>
      <c r="M71" s="30"/>
      <c r="N71" s="30"/>
      <c r="O71" s="30"/>
    </row>
    <row r="72" spans="1:15" ht="16.5">
      <c r="C72" s="110"/>
      <c r="E72" s="32" t="s">
        <v>63</v>
      </c>
      <c r="F72" s="29"/>
      <c r="G72" s="29"/>
      <c r="H72" s="30"/>
      <c r="I72" s="30"/>
      <c r="J72" s="29"/>
      <c r="K72" s="29">
        <v>19361283</v>
      </c>
      <c r="L72" s="30"/>
      <c r="M72" s="30"/>
      <c r="N72" s="30"/>
      <c r="O72" s="30"/>
    </row>
    <row r="73" spans="1:15" ht="16.5">
      <c r="C73" s="110"/>
      <c r="E73" s="32" t="s">
        <v>163</v>
      </c>
      <c r="F73" s="29"/>
      <c r="G73" s="29"/>
      <c r="H73" s="30"/>
      <c r="I73" s="30"/>
      <c r="J73" s="29"/>
      <c r="K73" s="30"/>
      <c r="L73" s="30"/>
      <c r="M73" s="30"/>
      <c r="N73" s="30"/>
      <c r="O73" s="30"/>
    </row>
    <row r="74" spans="1:15" ht="16.5">
      <c r="C74" s="110"/>
      <c r="E74" s="32" t="s">
        <v>46</v>
      </c>
      <c r="F74" s="29"/>
      <c r="G74" s="29"/>
      <c r="H74" s="30"/>
      <c r="I74" s="30"/>
      <c r="J74" s="29"/>
      <c r="K74" s="30"/>
      <c r="L74" s="30"/>
      <c r="M74" s="30"/>
      <c r="N74" s="30"/>
      <c r="O74" s="30"/>
    </row>
    <row r="75" spans="1:15" ht="16.5">
      <c r="E75" s="18"/>
      <c r="F75" s="20"/>
      <c r="G75" s="20"/>
      <c r="H75" s="21"/>
      <c r="I75" s="21"/>
      <c r="J75" s="20"/>
      <c r="K75" s="21"/>
      <c r="L75" s="21"/>
      <c r="M75" s="21"/>
      <c r="N75" s="21"/>
      <c r="O75" s="21"/>
    </row>
    <row r="76" spans="1:15" ht="16.5" customHeight="1">
      <c r="C76" s="110" t="s">
        <v>64</v>
      </c>
      <c r="E76" s="32" t="s">
        <v>59</v>
      </c>
      <c r="F76" s="29"/>
      <c r="G76" s="29"/>
      <c r="H76" s="30"/>
      <c r="I76" s="30"/>
      <c r="J76" s="29"/>
      <c r="K76" s="29">
        <v>123908151</v>
      </c>
      <c r="L76" s="30"/>
      <c r="M76" s="30"/>
      <c r="N76" s="30"/>
      <c r="O76" s="30"/>
    </row>
    <row r="77" spans="1:15" ht="16.5">
      <c r="C77" s="110"/>
      <c r="E77" s="32" t="s">
        <v>164</v>
      </c>
      <c r="F77" s="29"/>
      <c r="G77" s="29"/>
      <c r="H77" s="30"/>
      <c r="I77" s="30"/>
      <c r="J77" s="29"/>
      <c r="K77" s="29">
        <v>9257061</v>
      </c>
      <c r="L77" s="30"/>
      <c r="M77" s="30"/>
      <c r="N77" s="30"/>
      <c r="O77" s="30"/>
    </row>
    <row r="78" spans="1:15" ht="16.5">
      <c r="C78" s="110"/>
      <c r="E78" s="32" t="s">
        <v>60</v>
      </c>
      <c r="F78" s="29"/>
      <c r="G78" s="29"/>
      <c r="H78" s="30"/>
      <c r="I78" s="30"/>
      <c r="J78" s="29"/>
      <c r="K78" s="29">
        <v>6440101</v>
      </c>
      <c r="L78" s="30"/>
      <c r="M78" s="30"/>
      <c r="N78" s="30"/>
      <c r="O78" s="30"/>
    </row>
    <row r="79" spans="1:15" ht="16.5">
      <c r="C79" s="110"/>
      <c r="E79" s="32" t="s">
        <v>61</v>
      </c>
      <c r="F79" s="29"/>
      <c r="G79" s="29"/>
      <c r="H79" s="30"/>
      <c r="I79" s="30"/>
      <c r="J79" s="29"/>
      <c r="K79" s="29">
        <v>1514985</v>
      </c>
      <c r="L79" s="30"/>
      <c r="M79" s="30"/>
      <c r="N79" s="30"/>
      <c r="O79" s="30"/>
    </row>
    <row r="80" spans="1:15" ht="16.5">
      <c r="C80" s="110"/>
      <c r="E80" s="32" t="s">
        <v>62</v>
      </c>
      <c r="F80" s="29"/>
      <c r="G80" s="29"/>
      <c r="H80" s="30"/>
      <c r="I80" s="30"/>
      <c r="J80" s="29"/>
      <c r="K80" s="29">
        <v>17721558</v>
      </c>
      <c r="L80" s="30"/>
      <c r="M80" s="30"/>
      <c r="N80" s="30"/>
      <c r="O80" s="30"/>
    </row>
    <row r="81" spans="3:15" ht="16.5">
      <c r="C81" s="110"/>
      <c r="E81" s="32" t="s">
        <v>63</v>
      </c>
      <c r="F81" s="29"/>
      <c r="G81" s="29"/>
      <c r="H81" s="30"/>
      <c r="I81" s="30"/>
      <c r="J81" s="29"/>
      <c r="K81" s="29">
        <v>14080519</v>
      </c>
      <c r="L81" s="30"/>
      <c r="M81" s="30"/>
      <c r="N81" s="30"/>
      <c r="O81" s="30"/>
    </row>
    <row r="82" spans="3:15" ht="16.5">
      <c r="C82" s="110"/>
      <c r="E82" s="32" t="s">
        <v>163</v>
      </c>
      <c r="F82" s="29"/>
      <c r="G82" s="29"/>
      <c r="H82" s="30"/>
      <c r="I82" s="30"/>
      <c r="J82" s="29"/>
      <c r="K82" s="30"/>
      <c r="L82" s="30"/>
      <c r="M82" s="30"/>
      <c r="N82" s="30"/>
      <c r="O82" s="30"/>
    </row>
    <row r="83" spans="3:15" ht="16.5">
      <c r="C83" s="110"/>
      <c r="E83" s="32" t="s">
        <v>46</v>
      </c>
      <c r="F83" s="29"/>
      <c r="G83" s="29"/>
      <c r="H83" s="30"/>
      <c r="I83" s="30"/>
      <c r="J83" s="29"/>
      <c r="K83" s="30"/>
      <c r="L83" s="30"/>
      <c r="M83" s="30"/>
      <c r="N83" s="30"/>
      <c r="O83" s="30"/>
    </row>
    <row r="84" spans="3:15">
      <c r="E84" s="21"/>
      <c r="F84" s="20"/>
      <c r="G84" s="20"/>
      <c r="H84" s="21"/>
      <c r="I84" s="21"/>
      <c r="J84" s="20"/>
      <c r="K84" s="21"/>
      <c r="L84" s="21"/>
      <c r="M84" s="21"/>
      <c r="N84" s="21"/>
      <c r="O84" s="21"/>
    </row>
    <row r="85" spans="3:15" ht="14.25" customHeight="1">
      <c r="C85" s="110" t="s">
        <v>65</v>
      </c>
      <c r="D85" s="8" t="s">
        <v>66</v>
      </c>
      <c r="E85" s="32" t="s">
        <v>59</v>
      </c>
      <c r="F85" s="29"/>
      <c r="G85" s="29"/>
      <c r="H85" s="30"/>
      <c r="I85" s="30"/>
      <c r="J85" s="29"/>
      <c r="K85" s="29">
        <v>13545918</v>
      </c>
      <c r="L85" s="30"/>
      <c r="M85" s="30"/>
      <c r="N85" s="30"/>
      <c r="O85" s="30"/>
    </row>
    <row r="86" spans="3:15" ht="16.5">
      <c r="C86" s="110"/>
      <c r="E86" s="32" t="s">
        <v>164</v>
      </c>
      <c r="F86" s="29"/>
      <c r="G86" s="29"/>
      <c r="H86" s="30"/>
      <c r="I86" s="30"/>
      <c r="J86" s="29"/>
      <c r="K86" s="29">
        <v>674013</v>
      </c>
      <c r="L86" s="30"/>
      <c r="M86" s="30"/>
      <c r="N86" s="30"/>
      <c r="O86" s="30"/>
    </row>
    <row r="87" spans="3:15" ht="16.5">
      <c r="C87" s="110"/>
      <c r="E87" s="32" t="s">
        <v>60</v>
      </c>
      <c r="F87" s="29"/>
      <c r="G87" s="29"/>
      <c r="H87" s="30"/>
      <c r="I87" s="30"/>
      <c r="J87" s="29"/>
      <c r="K87" s="29">
        <v>1384406</v>
      </c>
      <c r="L87" s="30"/>
      <c r="M87" s="30"/>
      <c r="N87" s="30"/>
      <c r="O87" s="30"/>
    </row>
    <row r="88" spans="3:15" ht="16.5">
      <c r="C88" s="110"/>
      <c r="E88" s="32" t="s">
        <v>61</v>
      </c>
      <c r="F88" s="29"/>
      <c r="G88" s="29"/>
      <c r="H88" s="30"/>
      <c r="I88" s="30"/>
      <c r="J88" s="29"/>
      <c r="K88" s="29">
        <v>95150</v>
      </c>
      <c r="L88" s="30"/>
      <c r="M88" s="30"/>
      <c r="N88" s="30"/>
      <c r="O88" s="30"/>
    </row>
    <row r="89" spans="3:15" ht="16.5">
      <c r="C89" s="110"/>
      <c r="E89" s="32" t="s">
        <v>62</v>
      </c>
      <c r="F89" s="29"/>
      <c r="G89" s="29"/>
      <c r="H89" s="30"/>
      <c r="I89" s="30"/>
      <c r="J89" s="29"/>
      <c r="K89" s="29">
        <v>1860751</v>
      </c>
      <c r="L89" s="30"/>
      <c r="M89" s="30"/>
      <c r="N89" s="30"/>
      <c r="O89" s="30"/>
    </row>
    <row r="90" spans="3:15" ht="16.5">
      <c r="C90" s="110"/>
      <c r="E90" s="32" t="s">
        <v>63</v>
      </c>
      <c r="F90" s="29"/>
      <c r="G90" s="29"/>
      <c r="H90" s="30"/>
      <c r="I90" s="30"/>
      <c r="J90" s="29"/>
      <c r="K90" s="29">
        <v>715675</v>
      </c>
      <c r="L90" s="30"/>
      <c r="M90" s="30"/>
      <c r="N90" s="30"/>
      <c r="O90" s="30"/>
    </row>
    <row r="91" spans="3:15" ht="16.5">
      <c r="C91" s="110"/>
      <c r="E91" s="32" t="s">
        <v>163</v>
      </c>
      <c r="F91" s="29"/>
      <c r="G91" s="29"/>
      <c r="H91" s="30"/>
      <c r="I91" s="30"/>
      <c r="J91" s="29"/>
      <c r="K91" s="30"/>
      <c r="L91" s="30"/>
      <c r="M91" s="30"/>
      <c r="N91" s="30"/>
      <c r="O91" s="30"/>
    </row>
    <row r="92" spans="3:15" ht="16.5">
      <c r="C92" s="110"/>
      <c r="E92" s="32" t="s">
        <v>46</v>
      </c>
      <c r="F92" s="29"/>
      <c r="G92" s="29"/>
      <c r="H92" s="30"/>
      <c r="I92" s="30"/>
      <c r="J92" s="29"/>
      <c r="K92" s="30"/>
      <c r="L92" s="30"/>
      <c r="M92" s="30"/>
      <c r="N92" s="30"/>
      <c r="O92" s="30"/>
    </row>
    <row r="93" spans="3:15">
      <c r="E93" s="21"/>
      <c r="F93" s="20"/>
      <c r="G93" s="20"/>
      <c r="H93" s="21"/>
      <c r="I93" s="21"/>
      <c r="J93" s="20"/>
      <c r="K93" s="21"/>
      <c r="L93" s="21"/>
      <c r="M93" s="21"/>
      <c r="N93" s="21"/>
      <c r="O93" s="21"/>
    </row>
    <row r="94" spans="3:15" ht="16.5" customHeight="1">
      <c r="C94" s="110" t="s">
        <v>67</v>
      </c>
      <c r="E94" s="32" t="s">
        <v>59</v>
      </c>
      <c r="F94" s="29"/>
      <c r="G94" s="29"/>
      <c r="H94" s="30"/>
      <c r="I94" s="30"/>
      <c r="J94" s="29"/>
      <c r="K94" s="29">
        <v>7183708</v>
      </c>
      <c r="L94" s="30"/>
      <c r="M94" s="30"/>
      <c r="N94" s="30"/>
      <c r="O94" s="30"/>
    </row>
    <row r="95" spans="3:15" ht="16.5">
      <c r="C95" s="110"/>
      <c r="E95" s="32" t="s">
        <v>164</v>
      </c>
      <c r="F95" s="29"/>
      <c r="G95" s="29"/>
      <c r="H95" s="30"/>
      <c r="I95" s="30"/>
      <c r="J95" s="29"/>
      <c r="K95" s="29">
        <v>-1753825</v>
      </c>
      <c r="L95" s="30"/>
      <c r="M95" s="30"/>
      <c r="N95" s="30"/>
      <c r="O95" s="30"/>
    </row>
    <row r="96" spans="3:15" ht="16.5">
      <c r="C96" s="110"/>
      <c r="E96" s="32" t="s">
        <v>60</v>
      </c>
      <c r="F96" s="29"/>
      <c r="G96" s="29"/>
      <c r="H96" s="30"/>
      <c r="I96" s="30"/>
      <c r="J96" s="29"/>
      <c r="K96" s="29">
        <v>535639</v>
      </c>
      <c r="L96" s="30"/>
      <c r="M96" s="30"/>
      <c r="N96" s="30"/>
      <c r="O96" s="30"/>
    </row>
    <row r="97" spans="3:15" ht="16.5">
      <c r="C97" s="110"/>
      <c r="E97" s="32" t="s">
        <v>61</v>
      </c>
      <c r="F97" s="29"/>
      <c r="G97" s="29"/>
      <c r="H97" s="30"/>
      <c r="I97" s="30"/>
      <c r="J97" s="29"/>
      <c r="K97" s="29">
        <v>228835</v>
      </c>
      <c r="L97" s="30"/>
      <c r="M97" s="30"/>
      <c r="N97" s="30"/>
      <c r="O97" s="30"/>
    </row>
    <row r="98" spans="3:15" ht="16.5">
      <c r="C98" s="110"/>
      <c r="E98" s="32" t="s">
        <v>62</v>
      </c>
      <c r="F98" s="29"/>
      <c r="G98" s="29"/>
      <c r="H98" s="30"/>
      <c r="I98" s="30"/>
      <c r="J98" s="29"/>
      <c r="K98" s="29">
        <v>-272972</v>
      </c>
      <c r="L98" s="30"/>
      <c r="M98" s="30"/>
      <c r="N98" s="30"/>
      <c r="O98" s="30"/>
    </row>
    <row r="99" spans="3:15" ht="16.5">
      <c r="C99" s="110"/>
      <c r="E99" s="32" t="s">
        <v>63</v>
      </c>
      <c r="F99" s="29"/>
      <c r="G99" s="29"/>
      <c r="H99" s="30"/>
      <c r="I99" s="30"/>
      <c r="J99" s="29"/>
      <c r="K99" s="29">
        <v>520183</v>
      </c>
      <c r="L99" s="30"/>
      <c r="M99" s="30"/>
      <c r="N99" s="30"/>
      <c r="O99" s="30"/>
    </row>
    <row r="100" spans="3:15" ht="16.5">
      <c r="C100" s="110"/>
      <c r="E100" s="32" t="s">
        <v>163</v>
      </c>
      <c r="F100" s="29"/>
      <c r="G100" s="29"/>
      <c r="H100" s="30"/>
      <c r="I100" s="30"/>
      <c r="J100" s="29"/>
      <c r="K100" s="30"/>
      <c r="L100" s="30"/>
      <c r="M100" s="30"/>
      <c r="N100" s="30"/>
      <c r="O100" s="30"/>
    </row>
    <row r="101" spans="3:15" ht="16.5">
      <c r="C101" s="110"/>
      <c r="E101" s="32" t="s">
        <v>46</v>
      </c>
      <c r="F101" s="29"/>
      <c r="G101" s="29"/>
      <c r="H101" s="30"/>
      <c r="I101" s="30"/>
      <c r="J101" s="29"/>
      <c r="K101" s="30"/>
      <c r="L101" s="30"/>
      <c r="M101" s="30"/>
      <c r="N101" s="30"/>
      <c r="O101" s="30"/>
    </row>
    <row r="102" spans="3:15">
      <c r="E102" s="21"/>
      <c r="F102" s="20"/>
      <c r="G102" s="20"/>
      <c r="H102" s="21"/>
      <c r="I102" s="21"/>
      <c r="J102" s="20"/>
      <c r="K102" s="21"/>
      <c r="L102" s="21"/>
      <c r="M102" s="21"/>
      <c r="N102" s="21"/>
      <c r="O102" s="21"/>
    </row>
    <row r="103" spans="3:15" ht="16.5" customHeight="1">
      <c r="C103" s="111" t="s">
        <v>26</v>
      </c>
      <c r="D103" s="9" t="s">
        <v>68</v>
      </c>
      <c r="E103" s="22" t="s">
        <v>59</v>
      </c>
      <c r="F103" s="23" t="e">
        <f>F76/F67</f>
        <v>#DIV/0!</v>
      </c>
      <c r="G103" s="23" t="e">
        <f t="shared" ref="G103:O103" si="22">G76/G67</f>
        <v>#DIV/0!</v>
      </c>
      <c r="H103" s="23" t="e">
        <f t="shared" si="22"/>
        <v>#DIV/0!</v>
      </c>
      <c r="I103" s="23" t="e">
        <f t="shared" si="22"/>
        <v>#DIV/0!</v>
      </c>
      <c r="J103" s="23" t="e">
        <f t="shared" si="22"/>
        <v>#DIV/0!</v>
      </c>
      <c r="K103" s="23">
        <f t="shared" si="22"/>
        <v>0.54914189282626291</v>
      </c>
      <c r="L103" s="23" t="e">
        <f t="shared" si="22"/>
        <v>#DIV/0!</v>
      </c>
      <c r="M103" s="23" t="e">
        <f t="shared" si="22"/>
        <v>#DIV/0!</v>
      </c>
      <c r="N103" s="23" t="e">
        <f t="shared" si="22"/>
        <v>#DIV/0!</v>
      </c>
      <c r="O103" s="23" t="e">
        <f t="shared" si="22"/>
        <v>#DIV/0!</v>
      </c>
    </row>
    <row r="104" spans="3:15">
      <c r="C104" s="111"/>
      <c r="D104" s="10" t="s">
        <v>69</v>
      </c>
      <c r="E104" s="22" t="s">
        <v>164</v>
      </c>
      <c r="F104" s="23" t="e">
        <f t="shared" ref="F104:O109" si="23">F77/F68</f>
        <v>#DIV/0!</v>
      </c>
      <c r="G104" s="23" t="e">
        <f t="shared" si="23"/>
        <v>#DIV/0!</v>
      </c>
      <c r="H104" s="23" t="e">
        <f t="shared" si="23"/>
        <v>#DIV/0!</v>
      </c>
      <c r="I104" s="23" t="e">
        <f t="shared" si="23"/>
        <v>#DIV/0!</v>
      </c>
      <c r="J104" s="23" t="e">
        <f t="shared" si="23"/>
        <v>#DIV/0!</v>
      </c>
      <c r="K104" s="23">
        <f t="shared" si="23"/>
        <v>0.77074407327357419</v>
      </c>
      <c r="L104" s="23" t="e">
        <f t="shared" si="23"/>
        <v>#DIV/0!</v>
      </c>
      <c r="M104" s="23" t="e">
        <f t="shared" si="23"/>
        <v>#DIV/0!</v>
      </c>
      <c r="N104" s="23" t="e">
        <f t="shared" si="23"/>
        <v>#DIV/0!</v>
      </c>
      <c r="O104" s="23" t="e">
        <f t="shared" si="23"/>
        <v>#DIV/0!</v>
      </c>
    </row>
    <row r="105" spans="3:15">
      <c r="C105" s="111"/>
      <c r="E105" s="22" t="s">
        <v>60</v>
      </c>
      <c r="F105" s="23" t="e">
        <f t="shared" si="23"/>
        <v>#DIV/0!</v>
      </c>
      <c r="G105" s="23" t="e">
        <f t="shared" si="23"/>
        <v>#DIV/0!</v>
      </c>
      <c r="H105" s="23" t="e">
        <f t="shared" si="23"/>
        <v>#DIV/0!</v>
      </c>
      <c r="I105" s="23" t="e">
        <f t="shared" si="23"/>
        <v>#DIV/0!</v>
      </c>
      <c r="J105" s="23" t="e">
        <f t="shared" si="23"/>
        <v>#DIV/0!</v>
      </c>
      <c r="K105" s="23">
        <f t="shared" si="23"/>
        <v>0.47005456342834323</v>
      </c>
      <c r="L105" s="23" t="e">
        <f t="shared" si="23"/>
        <v>#DIV/0!</v>
      </c>
      <c r="M105" s="23" t="e">
        <f t="shared" si="23"/>
        <v>#DIV/0!</v>
      </c>
      <c r="N105" s="23" t="e">
        <f t="shared" si="23"/>
        <v>#DIV/0!</v>
      </c>
      <c r="O105" s="23" t="e">
        <f t="shared" si="23"/>
        <v>#DIV/0!</v>
      </c>
    </row>
    <row r="106" spans="3:15">
      <c r="C106" s="111"/>
      <c r="E106" s="22" t="s">
        <v>61</v>
      </c>
      <c r="F106" s="23" t="e">
        <f t="shared" si="23"/>
        <v>#DIV/0!</v>
      </c>
      <c r="G106" s="23" t="e">
        <f t="shared" si="23"/>
        <v>#DIV/0!</v>
      </c>
      <c r="H106" s="23" t="e">
        <f t="shared" si="23"/>
        <v>#DIV/0!</v>
      </c>
      <c r="I106" s="23" t="e">
        <f t="shared" si="23"/>
        <v>#DIV/0!</v>
      </c>
      <c r="J106" s="23" t="e">
        <f t="shared" si="23"/>
        <v>#DIV/0!</v>
      </c>
      <c r="K106" s="23">
        <f t="shared" si="23"/>
        <v>0.50967294820965092</v>
      </c>
      <c r="L106" s="23" t="e">
        <f t="shared" si="23"/>
        <v>#DIV/0!</v>
      </c>
      <c r="M106" s="23" t="e">
        <f t="shared" si="23"/>
        <v>#DIV/0!</v>
      </c>
      <c r="N106" s="23" t="e">
        <f t="shared" si="23"/>
        <v>#DIV/0!</v>
      </c>
      <c r="O106" s="23" t="e">
        <f t="shared" si="23"/>
        <v>#DIV/0!</v>
      </c>
    </row>
    <row r="107" spans="3:15">
      <c r="C107" s="111"/>
      <c r="E107" s="22" t="s">
        <v>62</v>
      </c>
      <c r="F107" s="23" t="e">
        <f t="shared" si="23"/>
        <v>#DIV/0!</v>
      </c>
      <c r="G107" s="23" t="e">
        <f t="shared" si="23"/>
        <v>#DIV/0!</v>
      </c>
      <c r="H107" s="23" t="e">
        <f t="shared" si="23"/>
        <v>#DIV/0!</v>
      </c>
      <c r="I107" s="23" t="e">
        <f t="shared" si="23"/>
        <v>#DIV/0!</v>
      </c>
      <c r="J107" s="23" t="e">
        <f t="shared" si="23"/>
        <v>#DIV/0!</v>
      </c>
      <c r="K107" s="23">
        <f t="shared" si="23"/>
        <v>0.7563475432368052</v>
      </c>
      <c r="L107" s="23" t="e">
        <f t="shared" si="23"/>
        <v>#DIV/0!</v>
      </c>
      <c r="M107" s="23" t="e">
        <f t="shared" si="23"/>
        <v>#DIV/0!</v>
      </c>
      <c r="N107" s="23" t="e">
        <f t="shared" si="23"/>
        <v>#DIV/0!</v>
      </c>
      <c r="O107" s="23" t="e">
        <f t="shared" si="23"/>
        <v>#DIV/0!</v>
      </c>
    </row>
    <row r="108" spans="3:15">
      <c r="C108" s="111"/>
      <c r="E108" s="22" t="s">
        <v>63</v>
      </c>
      <c r="F108" s="23" t="e">
        <f t="shared" si="23"/>
        <v>#DIV/0!</v>
      </c>
      <c r="G108" s="23" t="e">
        <f t="shared" si="23"/>
        <v>#DIV/0!</v>
      </c>
      <c r="H108" s="23" t="e">
        <f t="shared" si="23"/>
        <v>#DIV/0!</v>
      </c>
      <c r="I108" s="23" t="e">
        <f t="shared" si="23"/>
        <v>#DIV/0!</v>
      </c>
      <c r="J108" s="23" t="e">
        <f t="shared" si="23"/>
        <v>#DIV/0!</v>
      </c>
      <c r="K108" s="23">
        <f t="shared" si="23"/>
        <v>0.72725133969685785</v>
      </c>
      <c r="L108" s="23" t="e">
        <f t="shared" si="23"/>
        <v>#DIV/0!</v>
      </c>
      <c r="M108" s="23" t="e">
        <f t="shared" si="23"/>
        <v>#DIV/0!</v>
      </c>
      <c r="N108" s="23" t="e">
        <f t="shared" si="23"/>
        <v>#DIV/0!</v>
      </c>
      <c r="O108" s="23" t="e">
        <f t="shared" si="23"/>
        <v>#DIV/0!</v>
      </c>
    </row>
    <row r="109" spans="3:15">
      <c r="C109" s="111"/>
      <c r="E109" s="22" t="s">
        <v>163</v>
      </c>
      <c r="F109" s="23" t="e">
        <f>F82/F73</f>
        <v>#DIV/0!</v>
      </c>
      <c r="G109" s="23" t="e">
        <f t="shared" si="23"/>
        <v>#DIV/0!</v>
      </c>
      <c r="H109" s="23" t="e">
        <f t="shared" si="23"/>
        <v>#DIV/0!</v>
      </c>
      <c r="I109" s="23" t="e">
        <f t="shared" si="23"/>
        <v>#DIV/0!</v>
      </c>
      <c r="J109" s="23" t="e">
        <f t="shared" si="23"/>
        <v>#DIV/0!</v>
      </c>
      <c r="K109" s="23" t="e">
        <f t="shared" si="23"/>
        <v>#DIV/0!</v>
      </c>
      <c r="L109" s="23" t="e">
        <f t="shared" si="23"/>
        <v>#DIV/0!</v>
      </c>
      <c r="M109" s="23" t="e">
        <f t="shared" si="23"/>
        <v>#DIV/0!</v>
      </c>
      <c r="N109" s="23" t="e">
        <f t="shared" si="23"/>
        <v>#DIV/0!</v>
      </c>
      <c r="O109" s="23" t="e">
        <f t="shared" si="23"/>
        <v>#DIV/0!</v>
      </c>
    </row>
    <row r="110" spans="3:15">
      <c r="C110" s="111"/>
      <c r="D110" s="9" t="s">
        <v>31</v>
      </c>
      <c r="E110" s="22" t="s">
        <v>59</v>
      </c>
      <c r="F110" s="23" t="e">
        <f t="shared" ref="F110:O116" si="24">1-(F94/F67)</f>
        <v>#DIV/0!</v>
      </c>
      <c r="G110" s="23" t="e">
        <f t="shared" si="24"/>
        <v>#DIV/0!</v>
      </c>
      <c r="H110" s="23" t="e">
        <f t="shared" si="24"/>
        <v>#DIV/0!</v>
      </c>
      <c r="I110" s="23" t="e">
        <f t="shared" si="24"/>
        <v>#DIV/0!</v>
      </c>
      <c r="J110" s="23" t="e">
        <f t="shared" si="24"/>
        <v>#DIV/0!</v>
      </c>
      <c r="K110" s="23">
        <f t="shared" si="24"/>
        <v>0.96816290956814322</v>
      </c>
      <c r="L110" s="23" t="e">
        <f t="shared" si="24"/>
        <v>#DIV/0!</v>
      </c>
      <c r="M110" s="23" t="e">
        <f t="shared" si="24"/>
        <v>#DIV/0!</v>
      </c>
      <c r="N110" s="23" t="e">
        <f t="shared" si="24"/>
        <v>#DIV/0!</v>
      </c>
      <c r="O110" s="23" t="e">
        <f t="shared" si="24"/>
        <v>#DIV/0!</v>
      </c>
    </row>
    <row r="111" spans="3:15">
      <c r="C111" s="111"/>
      <c r="D111" s="10" t="s">
        <v>70</v>
      </c>
      <c r="E111" s="22" t="s">
        <v>164</v>
      </c>
      <c r="F111" s="23" t="e">
        <f t="shared" si="24"/>
        <v>#DIV/0!</v>
      </c>
      <c r="G111" s="23" t="e">
        <f t="shared" si="24"/>
        <v>#DIV/0!</v>
      </c>
      <c r="H111" s="23" t="e">
        <f t="shared" si="24"/>
        <v>#DIV/0!</v>
      </c>
      <c r="I111" s="23" t="e">
        <f t="shared" si="24"/>
        <v>#DIV/0!</v>
      </c>
      <c r="J111" s="23" t="e">
        <f t="shared" si="24"/>
        <v>#DIV/0!</v>
      </c>
      <c r="K111" s="23">
        <f t="shared" si="24"/>
        <v>1.1460236920021405</v>
      </c>
      <c r="L111" s="23" t="e">
        <f t="shared" si="24"/>
        <v>#DIV/0!</v>
      </c>
      <c r="M111" s="23" t="e">
        <f t="shared" si="24"/>
        <v>#DIV/0!</v>
      </c>
      <c r="N111" s="23" t="e">
        <f t="shared" si="24"/>
        <v>#DIV/0!</v>
      </c>
      <c r="O111" s="23" t="e">
        <f t="shared" si="24"/>
        <v>#DIV/0!</v>
      </c>
    </row>
    <row r="112" spans="3:15">
      <c r="C112" s="111"/>
      <c r="E112" s="22" t="s">
        <v>60</v>
      </c>
      <c r="F112" s="23" t="e">
        <f t="shared" si="24"/>
        <v>#DIV/0!</v>
      </c>
      <c r="G112" s="23" t="e">
        <f t="shared" si="24"/>
        <v>#DIV/0!</v>
      </c>
      <c r="H112" s="23" t="e">
        <f t="shared" si="24"/>
        <v>#DIV/0!</v>
      </c>
      <c r="I112" s="23" t="e">
        <f t="shared" si="24"/>
        <v>#DIV/0!</v>
      </c>
      <c r="J112" s="23" t="e">
        <f t="shared" si="24"/>
        <v>#DIV/0!</v>
      </c>
      <c r="K112" s="23">
        <f t="shared" si="24"/>
        <v>0.96090440875070215</v>
      </c>
      <c r="L112" s="23" t="e">
        <f t="shared" si="24"/>
        <v>#DIV/0!</v>
      </c>
      <c r="M112" s="23" t="e">
        <f t="shared" si="24"/>
        <v>#DIV/0!</v>
      </c>
      <c r="N112" s="23" t="e">
        <f t="shared" si="24"/>
        <v>#DIV/0!</v>
      </c>
      <c r="O112" s="23" t="e">
        <f t="shared" si="24"/>
        <v>#DIV/0!</v>
      </c>
    </row>
    <row r="113" spans="1:15">
      <c r="C113" s="111"/>
      <c r="E113" s="22" t="s">
        <v>61</v>
      </c>
      <c r="F113" s="23" t="e">
        <f t="shared" si="24"/>
        <v>#DIV/0!</v>
      </c>
      <c r="G113" s="23" t="e">
        <f t="shared" si="24"/>
        <v>#DIV/0!</v>
      </c>
      <c r="H113" s="23" t="e">
        <f t="shared" si="24"/>
        <v>#DIV/0!</v>
      </c>
      <c r="I113" s="23" t="e">
        <f t="shared" si="24"/>
        <v>#DIV/0!</v>
      </c>
      <c r="J113" s="23" t="e">
        <f t="shared" si="24"/>
        <v>#DIV/0!</v>
      </c>
      <c r="K113" s="23">
        <f t="shared" si="24"/>
        <v>0.92301507334821431</v>
      </c>
      <c r="L113" s="23" t="e">
        <f t="shared" si="24"/>
        <v>#DIV/0!</v>
      </c>
      <c r="M113" s="23" t="e">
        <f t="shared" si="24"/>
        <v>#DIV/0!</v>
      </c>
      <c r="N113" s="23" t="e">
        <f t="shared" si="24"/>
        <v>#DIV/0!</v>
      </c>
      <c r="O113" s="23" t="e">
        <f t="shared" si="24"/>
        <v>#DIV/0!</v>
      </c>
    </row>
    <row r="114" spans="1:15">
      <c r="C114" s="111"/>
      <c r="E114" s="22" t="s">
        <v>62</v>
      </c>
      <c r="F114" s="23" t="e">
        <f t="shared" si="24"/>
        <v>#DIV/0!</v>
      </c>
      <c r="G114" s="23" t="e">
        <f t="shared" si="24"/>
        <v>#DIV/0!</v>
      </c>
      <c r="H114" s="23" t="e">
        <f t="shared" si="24"/>
        <v>#DIV/0!</v>
      </c>
      <c r="I114" s="23" t="e">
        <f t="shared" si="24"/>
        <v>#DIV/0!</v>
      </c>
      <c r="J114" s="23" t="e">
        <f t="shared" si="24"/>
        <v>#DIV/0!</v>
      </c>
      <c r="K114" s="23">
        <f t="shared" si="24"/>
        <v>1.0116503132271122</v>
      </c>
      <c r="L114" s="23" t="e">
        <f t="shared" si="24"/>
        <v>#DIV/0!</v>
      </c>
      <c r="M114" s="23" t="e">
        <f t="shared" si="24"/>
        <v>#DIV/0!</v>
      </c>
      <c r="N114" s="23" t="e">
        <f t="shared" si="24"/>
        <v>#DIV/0!</v>
      </c>
      <c r="O114" s="23" t="e">
        <f t="shared" si="24"/>
        <v>#DIV/0!</v>
      </c>
    </row>
    <row r="115" spans="1:15">
      <c r="C115" s="111"/>
      <c r="E115" s="22" t="s">
        <v>63</v>
      </c>
      <c r="F115" s="23" t="e">
        <f t="shared" si="24"/>
        <v>#DIV/0!</v>
      </c>
      <c r="G115" s="23" t="e">
        <f t="shared" si="24"/>
        <v>#DIV/0!</v>
      </c>
      <c r="H115" s="23" t="e">
        <f t="shared" si="24"/>
        <v>#DIV/0!</v>
      </c>
      <c r="I115" s="23" t="e">
        <f t="shared" si="24"/>
        <v>#DIV/0!</v>
      </c>
      <c r="J115" s="23" t="e">
        <f t="shared" si="24"/>
        <v>#DIV/0!</v>
      </c>
      <c r="K115" s="23">
        <f t="shared" si="24"/>
        <v>0.97313282389395372</v>
      </c>
      <c r="L115" s="23" t="e">
        <f t="shared" si="24"/>
        <v>#DIV/0!</v>
      </c>
      <c r="M115" s="23" t="e">
        <f t="shared" si="24"/>
        <v>#DIV/0!</v>
      </c>
      <c r="N115" s="23" t="e">
        <f t="shared" si="24"/>
        <v>#DIV/0!</v>
      </c>
      <c r="O115" s="23" t="e">
        <f t="shared" si="24"/>
        <v>#DIV/0!</v>
      </c>
    </row>
    <row r="116" spans="1:15">
      <c r="C116" s="111"/>
      <c r="E116" s="22" t="s">
        <v>163</v>
      </c>
      <c r="F116" s="23" t="e">
        <f t="shared" si="24"/>
        <v>#DIV/0!</v>
      </c>
      <c r="G116" s="23" t="e">
        <f t="shared" si="24"/>
        <v>#DIV/0!</v>
      </c>
      <c r="H116" s="23" t="e">
        <f t="shared" si="24"/>
        <v>#DIV/0!</v>
      </c>
      <c r="I116" s="23" t="e">
        <f t="shared" si="24"/>
        <v>#DIV/0!</v>
      </c>
      <c r="J116" s="23" t="e">
        <f t="shared" si="24"/>
        <v>#DIV/0!</v>
      </c>
      <c r="K116" s="23" t="e">
        <f t="shared" si="24"/>
        <v>#DIV/0!</v>
      </c>
      <c r="L116" s="23" t="e">
        <f t="shared" si="24"/>
        <v>#DIV/0!</v>
      </c>
      <c r="M116" s="23" t="e">
        <f t="shared" si="24"/>
        <v>#DIV/0!</v>
      </c>
      <c r="N116" s="23" t="e">
        <f t="shared" si="24"/>
        <v>#DIV/0!</v>
      </c>
      <c r="O116" s="23" t="e">
        <f t="shared" si="24"/>
        <v>#DIV/0!</v>
      </c>
    </row>
    <row r="117" spans="1:15">
      <c r="E117" s="21"/>
      <c r="F117" s="25"/>
      <c r="G117" s="25"/>
      <c r="H117" s="21"/>
      <c r="I117" s="21"/>
      <c r="J117" s="21"/>
      <c r="K117" s="21"/>
      <c r="L117" s="21"/>
      <c r="M117" s="21"/>
      <c r="N117" s="21"/>
      <c r="O117" s="21"/>
    </row>
    <row r="118" spans="1:15">
      <c r="A118" s="109" t="s">
        <v>113</v>
      </c>
      <c r="B118" s="109"/>
      <c r="E118" s="30" t="s">
        <v>108</v>
      </c>
      <c r="F118" s="29"/>
      <c r="G118" s="29"/>
      <c r="H118" s="30"/>
      <c r="I118" s="30"/>
      <c r="J118" s="29">
        <v>37830775</v>
      </c>
      <c r="K118" s="29">
        <v>49070981</v>
      </c>
      <c r="L118" s="30"/>
      <c r="M118" s="30"/>
      <c r="N118" s="30"/>
      <c r="O118" s="30"/>
    </row>
    <row r="119" spans="1:15">
      <c r="A119" s="109"/>
      <c r="B119" s="109"/>
      <c r="E119" s="33" t="s">
        <v>109</v>
      </c>
      <c r="F119" s="34"/>
      <c r="G119" s="34"/>
      <c r="H119" s="34"/>
      <c r="I119" s="34"/>
      <c r="J119" s="68">
        <v>85355820</v>
      </c>
      <c r="K119" s="68">
        <v>140792722</v>
      </c>
      <c r="L119" s="34"/>
      <c r="M119" s="34"/>
      <c r="N119" s="34"/>
      <c r="O119" s="34"/>
    </row>
    <row r="120" spans="1:15">
      <c r="E120" s="22" t="s">
        <v>110</v>
      </c>
      <c r="F120" s="42" t="e">
        <f>F119/F118</f>
        <v>#DIV/0!</v>
      </c>
      <c r="G120" s="42" t="e">
        <f t="shared" ref="G120:O120" si="25">G119/G118</f>
        <v>#DIV/0!</v>
      </c>
      <c r="H120" s="42" t="e">
        <f t="shared" si="25"/>
        <v>#DIV/0!</v>
      </c>
      <c r="I120" s="42" t="e">
        <f t="shared" si="25"/>
        <v>#DIV/0!</v>
      </c>
      <c r="J120" s="42">
        <f t="shared" si="25"/>
        <v>2.2562535396115995</v>
      </c>
      <c r="K120" s="42">
        <f t="shared" si="25"/>
        <v>2.8691646087124281</v>
      </c>
      <c r="L120" s="42" t="e">
        <f t="shared" si="25"/>
        <v>#DIV/0!</v>
      </c>
      <c r="M120" s="42" t="e">
        <f t="shared" si="25"/>
        <v>#DIV/0!</v>
      </c>
      <c r="N120" s="42" t="e">
        <f t="shared" si="25"/>
        <v>#DIV/0!</v>
      </c>
      <c r="O120" s="42" t="e">
        <f t="shared" si="25"/>
        <v>#DIV/0!</v>
      </c>
    </row>
    <row r="127" spans="1:15" s="92" customFormat="1">
      <c r="A127" s="93" t="s">
        <v>221</v>
      </c>
    </row>
  </sheetData>
  <mergeCells count="18">
    <mergeCell ref="C76:C83"/>
    <mergeCell ref="C85:C92"/>
    <mergeCell ref="C94:C101"/>
    <mergeCell ref="C103:C116"/>
    <mergeCell ref="A118:B119"/>
    <mergeCell ref="C44:C48"/>
    <mergeCell ref="C50:C55"/>
    <mergeCell ref="A57:B58"/>
    <mergeCell ref="C57:C65"/>
    <mergeCell ref="A67:B68"/>
    <mergeCell ref="C67:C74"/>
    <mergeCell ref="A34:B35"/>
    <mergeCell ref="C34:C42"/>
    <mergeCell ref="A2:B3"/>
    <mergeCell ref="C2:C8"/>
    <mergeCell ref="C10:C15"/>
    <mergeCell ref="C18:C22"/>
    <mergeCell ref="C24:C32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127"/>
  <sheetViews>
    <sheetView zoomScale="85" zoomScaleNormal="85" workbookViewId="0">
      <pane xSplit="5" ySplit="1" topLeftCell="F2" activePane="bottomRight" state="frozen"/>
      <selection pane="topRight"/>
      <selection pane="bottomLeft"/>
      <selection pane="bottomRight" activeCell="F27" sqref="F27"/>
    </sheetView>
  </sheetViews>
  <sheetFormatPr defaultRowHeight="14.25"/>
  <cols>
    <col min="1" max="1" width="12.88671875" customWidth="1"/>
    <col min="3" max="3" width="5.88671875" customWidth="1"/>
    <col min="4" max="4" width="9.44140625" customWidth="1"/>
    <col min="5" max="5" width="57.21875" bestFit="1" customWidth="1"/>
    <col min="6" max="8" width="11.77734375" bestFit="1" customWidth="1"/>
    <col min="9" max="9" width="13.33203125" bestFit="1" customWidth="1"/>
    <col min="10" max="10" width="11.77734375" bestFit="1" customWidth="1"/>
    <col min="11" max="11" width="12.33203125" customWidth="1"/>
    <col min="12" max="12" width="11.21875" customWidth="1"/>
    <col min="13" max="13" width="11.6640625" customWidth="1"/>
  </cols>
  <sheetData>
    <row r="1" spans="1:15">
      <c r="A1" s="66" t="s">
        <v>2</v>
      </c>
      <c r="D1" s="2"/>
      <c r="E1" s="2" t="s">
        <v>3</v>
      </c>
      <c r="F1" s="2">
        <v>2011</v>
      </c>
      <c r="G1" s="2">
        <v>2012</v>
      </c>
      <c r="H1" s="2">
        <v>2013</v>
      </c>
      <c r="I1" s="2">
        <v>2014</v>
      </c>
      <c r="J1" s="2">
        <v>2015</v>
      </c>
      <c r="K1" s="2">
        <v>2016</v>
      </c>
      <c r="L1" s="3">
        <v>2017</v>
      </c>
      <c r="M1" s="3">
        <v>2018</v>
      </c>
      <c r="N1" s="3">
        <v>2019</v>
      </c>
      <c r="O1" s="3">
        <v>2020</v>
      </c>
    </row>
    <row r="2" spans="1:15" ht="16.5">
      <c r="A2" s="109" t="s">
        <v>4</v>
      </c>
      <c r="B2" s="109"/>
      <c r="C2" s="110" t="s">
        <v>5</v>
      </c>
      <c r="E2" s="32" t="s">
        <v>6</v>
      </c>
      <c r="F2" s="28"/>
      <c r="G2" s="28"/>
      <c r="H2" s="28"/>
      <c r="I2" s="28"/>
      <c r="J2" s="28"/>
      <c r="K2" s="28">
        <v>96195421</v>
      </c>
      <c r="L2" s="28"/>
      <c r="M2" s="28"/>
      <c r="N2" s="28"/>
      <c r="O2" s="28"/>
    </row>
    <row r="3" spans="1:15" ht="16.5">
      <c r="A3" s="109"/>
      <c r="B3" s="109"/>
      <c r="C3" s="110"/>
      <c r="E3" s="32" t="s">
        <v>7</v>
      </c>
      <c r="F3" s="29"/>
      <c r="G3" s="29"/>
      <c r="H3" s="29"/>
      <c r="I3" s="29"/>
      <c r="J3" s="29"/>
      <c r="K3" s="29">
        <v>12203210</v>
      </c>
      <c r="L3" s="30"/>
      <c r="M3" s="30"/>
      <c r="N3" s="30"/>
      <c r="O3" s="30"/>
    </row>
    <row r="4" spans="1:15" ht="16.5">
      <c r="C4" s="110"/>
      <c r="E4" s="32" t="s">
        <v>117</v>
      </c>
      <c r="F4" s="28"/>
      <c r="G4" s="28"/>
      <c r="H4" s="28"/>
      <c r="I4" s="28"/>
      <c r="J4" s="28"/>
      <c r="K4" s="28">
        <v>422989</v>
      </c>
      <c r="L4" s="28"/>
      <c r="M4" s="28"/>
      <c r="N4" s="28"/>
      <c r="O4" s="28"/>
    </row>
    <row r="5" spans="1:15" ht="16.5">
      <c r="C5" s="110"/>
      <c r="E5" s="32" t="s">
        <v>8</v>
      </c>
      <c r="F5" s="29"/>
      <c r="G5" s="29"/>
      <c r="H5" s="29"/>
      <c r="I5" s="29"/>
      <c r="J5" s="29"/>
      <c r="K5" s="29">
        <v>38206791</v>
      </c>
      <c r="L5" s="31"/>
      <c r="M5" s="30"/>
      <c r="N5" s="30"/>
      <c r="O5" s="30"/>
    </row>
    <row r="6" spans="1:15" ht="16.5">
      <c r="A6" s="29" t="s">
        <v>219</v>
      </c>
      <c r="C6" s="110"/>
      <c r="E6" s="18" t="s">
        <v>116</v>
      </c>
      <c r="F6" s="20"/>
      <c r="G6" s="19">
        <f>G5-F5</f>
        <v>0</v>
      </c>
      <c r="H6" s="19">
        <f t="shared" ref="H6:O6" si="0">H5-G5</f>
        <v>0</v>
      </c>
      <c r="I6" s="19">
        <f t="shared" si="0"/>
        <v>0</v>
      </c>
      <c r="J6" s="19">
        <f t="shared" si="0"/>
        <v>0</v>
      </c>
      <c r="K6" s="19">
        <f t="shared" si="0"/>
        <v>38206791</v>
      </c>
      <c r="L6" s="19">
        <f t="shared" si="0"/>
        <v>-38206791</v>
      </c>
      <c r="M6" s="19">
        <f t="shared" si="0"/>
        <v>0</v>
      </c>
      <c r="N6" s="19">
        <f t="shared" si="0"/>
        <v>0</v>
      </c>
      <c r="O6" s="19">
        <f t="shared" si="0"/>
        <v>0</v>
      </c>
    </row>
    <row r="7" spans="1:15" ht="16.5">
      <c r="C7" s="110"/>
      <c r="D7" s="7" t="s">
        <v>32</v>
      </c>
      <c r="E7" s="18" t="s">
        <v>9</v>
      </c>
      <c r="F7" s="19">
        <f t="shared" ref="F7:O7" si="1">F2-F3-F4</f>
        <v>0</v>
      </c>
      <c r="G7" s="19">
        <f t="shared" si="1"/>
        <v>0</v>
      </c>
      <c r="H7" s="19">
        <f t="shared" si="1"/>
        <v>0</v>
      </c>
      <c r="I7" s="19">
        <f t="shared" si="1"/>
        <v>0</v>
      </c>
      <c r="J7" s="19">
        <f t="shared" si="1"/>
        <v>0</v>
      </c>
      <c r="K7" s="19">
        <f t="shared" si="1"/>
        <v>83569222</v>
      </c>
      <c r="L7" s="19">
        <f t="shared" si="1"/>
        <v>0</v>
      </c>
      <c r="M7" s="19">
        <f t="shared" si="1"/>
        <v>0</v>
      </c>
      <c r="N7" s="19">
        <f t="shared" si="1"/>
        <v>0</v>
      </c>
      <c r="O7" s="19">
        <f t="shared" si="1"/>
        <v>0</v>
      </c>
    </row>
    <row r="8" spans="1:15" ht="16.5">
      <c r="C8" s="110"/>
      <c r="D8" s="7" t="s">
        <v>27</v>
      </c>
      <c r="E8" s="18" t="s">
        <v>10</v>
      </c>
      <c r="F8" s="19">
        <f>F2-F6</f>
        <v>0</v>
      </c>
      <c r="G8" s="19">
        <f t="shared" ref="G8:O8" si="2">G2-G6</f>
        <v>0</v>
      </c>
      <c r="H8" s="19">
        <f t="shared" si="2"/>
        <v>0</v>
      </c>
      <c r="I8" s="19">
        <f t="shared" si="2"/>
        <v>0</v>
      </c>
      <c r="J8" s="19">
        <f t="shared" si="2"/>
        <v>0</v>
      </c>
      <c r="K8" s="19">
        <f t="shared" si="2"/>
        <v>57988630</v>
      </c>
      <c r="L8" s="19">
        <f t="shared" si="2"/>
        <v>38206791</v>
      </c>
      <c r="M8" s="19">
        <f t="shared" si="2"/>
        <v>0</v>
      </c>
      <c r="N8" s="19">
        <f t="shared" si="2"/>
        <v>0</v>
      </c>
      <c r="O8" s="19">
        <f t="shared" si="2"/>
        <v>0</v>
      </c>
    </row>
    <row r="9" spans="1:15" ht="16.5">
      <c r="E9" s="18"/>
      <c r="F9" s="20"/>
      <c r="G9" s="20"/>
      <c r="H9" s="20"/>
      <c r="I9" s="20"/>
      <c r="J9" s="20"/>
      <c r="K9" s="20"/>
      <c r="L9" s="21"/>
      <c r="M9" s="21"/>
      <c r="N9" s="21"/>
      <c r="O9" s="21"/>
    </row>
    <row r="10" spans="1:15" ht="16.5">
      <c r="C10" s="110" t="s">
        <v>11</v>
      </c>
      <c r="E10" s="32" t="s">
        <v>12</v>
      </c>
      <c r="F10" s="29"/>
      <c r="G10" s="29"/>
      <c r="H10" s="29"/>
      <c r="I10" s="29"/>
      <c r="J10" s="29"/>
      <c r="K10" s="29">
        <v>58783223</v>
      </c>
      <c r="L10" s="30"/>
      <c r="M10" s="30"/>
      <c r="N10" s="30"/>
      <c r="O10" s="30"/>
    </row>
    <row r="11" spans="1:15" ht="16.5">
      <c r="C11" s="110"/>
      <c r="E11" s="32" t="s">
        <v>13</v>
      </c>
      <c r="F11" s="29"/>
      <c r="G11" s="29"/>
      <c r="H11" s="29"/>
      <c r="I11" s="29"/>
      <c r="J11" s="29"/>
      <c r="K11" s="29">
        <v>6843213</v>
      </c>
      <c r="L11" s="30"/>
      <c r="M11" s="30"/>
      <c r="N11" s="30"/>
      <c r="O11" s="30"/>
    </row>
    <row r="12" spans="1:15" ht="16.5">
      <c r="C12" s="110"/>
      <c r="E12" s="18" t="s">
        <v>14</v>
      </c>
      <c r="F12" s="19">
        <f>F10-F11</f>
        <v>0</v>
      </c>
      <c r="G12" s="19">
        <f t="shared" ref="G12:H12" si="3">G10-G11</f>
        <v>0</v>
      </c>
      <c r="H12" s="19">
        <f t="shared" si="3"/>
        <v>0</v>
      </c>
      <c r="I12" s="19">
        <f>I10-I11</f>
        <v>0</v>
      </c>
      <c r="J12" s="19">
        <f>J10-J11</f>
        <v>0</v>
      </c>
      <c r="K12" s="19">
        <f>K10-K11</f>
        <v>51940010</v>
      </c>
      <c r="L12" s="19">
        <f t="shared" ref="L12:O12" si="4">L10-L11</f>
        <v>0</v>
      </c>
      <c r="M12" s="19">
        <f t="shared" si="4"/>
        <v>0</v>
      </c>
      <c r="N12" s="19">
        <f t="shared" si="4"/>
        <v>0</v>
      </c>
      <c r="O12" s="19">
        <f t="shared" si="4"/>
        <v>0</v>
      </c>
    </row>
    <row r="13" spans="1:15" ht="16.5">
      <c r="C13" s="110"/>
      <c r="E13" s="32" t="s">
        <v>15</v>
      </c>
      <c r="F13" s="29"/>
      <c r="G13" s="29"/>
      <c r="H13" s="29"/>
      <c r="I13" s="29"/>
      <c r="J13" s="29"/>
      <c r="K13" s="29">
        <v>604753</v>
      </c>
      <c r="L13" s="30"/>
      <c r="M13" s="30"/>
      <c r="N13" s="30"/>
      <c r="O13" s="30"/>
    </row>
    <row r="14" spans="1:15" ht="16.5">
      <c r="C14" s="110"/>
      <c r="E14" s="32" t="s">
        <v>16</v>
      </c>
      <c r="F14" s="29"/>
      <c r="G14" s="29"/>
      <c r="H14" s="29"/>
      <c r="I14" s="29"/>
      <c r="J14" s="29"/>
      <c r="K14" s="29">
        <v>137264</v>
      </c>
      <c r="L14" s="30"/>
      <c r="M14" s="30"/>
      <c r="N14" s="30"/>
      <c r="O14" s="30"/>
    </row>
    <row r="15" spans="1:15" ht="16.5">
      <c r="C15" s="110"/>
      <c r="E15" s="18" t="s">
        <v>17</v>
      </c>
      <c r="F15" s="19">
        <f>F12+F13-F14</f>
        <v>0</v>
      </c>
      <c r="G15" s="19">
        <f t="shared" ref="G15:I15" si="5">G12+G13-G14</f>
        <v>0</v>
      </c>
      <c r="H15" s="19">
        <f t="shared" si="5"/>
        <v>0</v>
      </c>
      <c r="I15" s="19">
        <f t="shared" si="5"/>
        <v>0</v>
      </c>
      <c r="J15" s="19">
        <f>J12+J13-J14</f>
        <v>0</v>
      </c>
      <c r="K15" s="19">
        <f>K12+K13-K14</f>
        <v>52407499</v>
      </c>
      <c r="L15" s="19">
        <f t="shared" ref="L15:O15" si="6">L12+L13-L14</f>
        <v>0</v>
      </c>
      <c r="M15" s="19">
        <f t="shared" si="6"/>
        <v>0</v>
      </c>
      <c r="N15" s="19">
        <f t="shared" si="6"/>
        <v>0</v>
      </c>
      <c r="O15" s="19">
        <f t="shared" si="6"/>
        <v>0</v>
      </c>
    </row>
    <row r="16" spans="1:15" ht="16.5">
      <c r="C16" s="38"/>
      <c r="E16" s="32" t="s">
        <v>18</v>
      </c>
      <c r="F16" s="29"/>
      <c r="G16" s="29"/>
      <c r="H16" s="29"/>
      <c r="I16" s="29"/>
      <c r="J16" s="29"/>
      <c r="K16" s="29">
        <v>22372</v>
      </c>
      <c r="L16" s="30"/>
      <c r="M16" s="30"/>
      <c r="N16" s="30"/>
      <c r="O16" s="30"/>
    </row>
    <row r="17" spans="1:15">
      <c r="E17" s="21"/>
      <c r="F17" s="20"/>
      <c r="G17" s="20"/>
      <c r="H17" s="20"/>
      <c r="I17" s="20"/>
      <c r="J17" s="21"/>
      <c r="K17" s="20"/>
      <c r="L17" s="21"/>
      <c r="M17" s="21"/>
      <c r="N17" s="21"/>
      <c r="O17" s="21"/>
    </row>
    <row r="18" spans="1:15" ht="16.5">
      <c r="C18" s="110" t="s">
        <v>19</v>
      </c>
      <c r="E18" s="32" t="s">
        <v>20</v>
      </c>
      <c r="F18" s="29"/>
      <c r="G18" s="29"/>
      <c r="H18" s="29"/>
      <c r="I18" s="29"/>
      <c r="J18" s="29"/>
      <c r="K18" s="29">
        <v>29651</v>
      </c>
      <c r="L18" s="30"/>
      <c r="M18" s="30"/>
      <c r="N18" s="30"/>
      <c r="O18" s="30"/>
    </row>
    <row r="19" spans="1:15" ht="16.5">
      <c r="C19" s="110"/>
      <c r="E19" s="32" t="s">
        <v>21</v>
      </c>
      <c r="F19" s="29"/>
      <c r="G19" s="29"/>
      <c r="H19" s="29"/>
      <c r="I19" s="29"/>
      <c r="J19" s="29"/>
      <c r="K19" s="29">
        <v>2396002</v>
      </c>
      <c r="L19" s="30"/>
      <c r="M19" s="30"/>
      <c r="N19" s="30"/>
      <c r="O19" s="30"/>
    </row>
    <row r="20" spans="1:15" ht="16.5">
      <c r="C20" s="110"/>
      <c r="E20" s="32" t="s">
        <v>22</v>
      </c>
      <c r="F20" s="29"/>
      <c r="G20" s="29"/>
      <c r="H20" s="29"/>
      <c r="I20" s="29"/>
      <c r="J20" s="29"/>
      <c r="K20" s="29">
        <v>14047468</v>
      </c>
      <c r="L20" s="30"/>
      <c r="M20" s="30"/>
      <c r="N20" s="30"/>
      <c r="O20" s="30"/>
    </row>
    <row r="21" spans="1:15" ht="16.5">
      <c r="C21" s="110"/>
      <c r="E21" s="32" t="s">
        <v>23</v>
      </c>
      <c r="F21" s="29"/>
      <c r="G21" s="29"/>
      <c r="H21" s="29"/>
      <c r="I21" s="29"/>
      <c r="J21" s="29"/>
      <c r="K21" s="29">
        <v>19387364</v>
      </c>
      <c r="L21" s="30"/>
      <c r="M21" s="30"/>
      <c r="N21" s="30"/>
      <c r="O21" s="30"/>
    </row>
    <row r="22" spans="1:15" ht="16.5">
      <c r="C22" s="110"/>
      <c r="E22" s="32" t="s">
        <v>24</v>
      </c>
      <c r="F22" s="29"/>
      <c r="G22" s="29"/>
      <c r="H22" s="29"/>
      <c r="I22" s="29"/>
      <c r="J22" s="29"/>
      <c r="K22" s="29">
        <v>4199630</v>
      </c>
      <c r="L22" s="30"/>
      <c r="M22" s="30"/>
      <c r="N22" s="30"/>
      <c r="O22" s="30"/>
    </row>
    <row r="23" spans="1:15" ht="16.5">
      <c r="E23" s="18"/>
      <c r="F23" s="21"/>
      <c r="G23" s="21"/>
      <c r="H23" s="21"/>
      <c r="I23" s="21"/>
      <c r="J23" s="20"/>
      <c r="K23" s="21"/>
      <c r="L23" s="21"/>
      <c r="M23" s="21"/>
      <c r="N23" s="21"/>
      <c r="O23" s="21"/>
    </row>
    <row r="24" spans="1:15">
      <c r="A24" t="s">
        <v>25</v>
      </c>
      <c r="C24" s="111" t="s">
        <v>26</v>
      </c>
      <c r="D24" s="7" t="s">
        <v>27</v>
      </c>
      <c r="E24" s="22" t="s">
        <v>28</v>
      </c>
      <c r="F24" s="67" t="e">
        <f>F10/F8</f>
        <v>#DIV/0!</v>
      </c>
      <c r="G24" s="67" t="e">
        <f t="shared" ref="G24:O24" si="7">G10/G8</f>
        <v>#DIV/0!</v>
      </c>
      <c r="H24" s="67" t="e">
        <f t="shared" si="7"/>
        <v>#DIV/0!</v>
      </c>
      <c r="I24" s="67" t="e">
        <f t="shared" si="7"/>
        <v>#DIV/0!</v>
      </c>
      <c r="J24" s="67" t="e">
        <f t="shared" si="7"/>
        <v>#DIV/0!</v>
      </c>
      <c r="K24" s="67">
        <f t="shared" si="7"/>
        <v>1.0137025654856824</v>
      </c>
      <c r="L24" s="67">
        <f t="shared" si="7"/>
        <v>0</v>
      </c>
      <c r="M24" s="67" t="e">
        <f t="shared" si="7"/>
        <v>#DIV/0!</v>
      </c>
      <c r="N24" s="67" t="e">
        <f t="shared" si="7"/>
        <v>#DIV/0!</v>
      </c>
      <c r="O24" s="67" t="e">
        <f t="shared" si="7"/>
        <v>#DIV/0!</v>
      </c>
    </row>
    <row r="25" spans="1:15">
      <c r="C25" s="111"/>
      <c r="E25" s="22" t="s">
        <v>29</v>
      </c>
      <c r="F25" s="67" t="e">
        <f>(F10+F13)/F8</f>
        <v>#DIV/0!</v>
      </c>
      <c r="G25" s="67" t="e">
        <f t="shared" ref="G25:O25" si="8">(G10+G13)/G8</f>
        <v>#DIV/0!</v>
      </c>
      <c r="H25" s="67" t="e">
        <f t="shared" si="8"/>
        <v>#DIV/0!</v>
      </c>
      <c r="I25" s="67" t="e">
        <f t="shared" si="8"/>
        <v>#DIV/0!</v>
      </c>
      <c r="J25" s="67" t="e">
        <f t="shared" si="8"/>
        <v>#DIV/0!</v>
      </c>
      <c r="K25" s="67">
        <f t="shared" si="8"/>
        <v>1.0241313857561387</v>
      </c>
      <c r="L25" s="67">
        <f t="shared" si="8"/>
        <v>0</v>
      </c>
      <c r="M25" s="67" t="e">
        <f t="shared" si="8"/>
        <v>#DIV/0!</v>
      </c>
      <c r="N25" s="67" t="e">
        <f t="shared" si="8"/>
        <v>#DIV/0!</v>
      </c>
      <c r="O25" s="67" t="e">
        <f t="shared" si="8"/>
        <v>#DIV/0!</v>
      </c>
    </row>
    <row r="26" spans="1:15">
      <c r="C26" s="111"/>
      <c r="E26" s="22" t="s">
        <v>30</v>
      </c>
      <c r="F26" s="67" t="e">
        <f>SUM(F18:F21)/F8</f>
        <v>#DIV/0!</v>
      </c>
      <c r="G26" s="67" t="e">
        <f>SUM(G18:G21)/G8</f>
        <v>#DIV/0!</v>
      </c>
      <c r="H26" s="67" t="e">
        <f t="shared" ref="H26:O26" si="9">SUM(H18:H21)/H8</f>
        <v>#DIV/0!</v>
      </c>
      <c r="I26" s="67" t="e">
        <f t="shared" si="9"/>
        <v>#DIV/0!</v>
      </c>
      <c r="J26" s="67" t="e">
        <f t="shared" si="9"/>
        <v>#DIV/0!</v>
      </c>
      <c r="K26" s="67">
        <f t="shared" si="9"/>
        <v>0.61840545293103144</v>
      </c>
      <c r="L26" s="67">
        <f t="shared" si="9"/>
        <v>0</v>
      </c>
      <c r="M26" s="67" t="e">
        <f t="shared" si="9"/>
        <v>#DIV/0!</v>
      </c>
      <c r="N26" s="67" t="e">
        <f t="shared" si="9"/>
        <v>#DIV/0!</v>
      </c>
      <c r="O26" s="67" t="e">
        <f t="shared" si="9"/>
        <v>#DIV/0!</v>
      </c>
    </row>
    <row r="27" spans="1:15">
      <c r="C27" s="111"/>
      <c r="E27" s="22" t="s">
        <v>111</v>
      </c>
      <c r="F27" s="24" t="e">
        <f>F25+F26</f>
        <v>#DIV/0!</v>
      </c>
      <c r="G27" s="24" t="e">
        <f t="shared" ref="G27:O27" si="10">G25+G26</f>
        <v>#DIV/0!</v>
      </c>
      <c r="H27" s="24" t="e">
        <f t="shared" si="10"/>
        <v>#DIV/0!</v>
      </c>
      <c r="I27" s="24" t="e">
        <f t="shared" si="10"/>
        <v>#DIV/0!</v>
      </c>
      <c r="J27" s="24" t="e">
        <f t="shared" si="10"/>
        <v>#DIV/0!</v>
      </c>
      <c r="K27" s="24">
        <f>K25+K26</f>
        <v>1.6425368386871702</v>
      </c>
      <c r="L27" s="24">
        <f t="shared" si="10"/>
        <v>0</v>
      </c>
      <c r="M27" s="24" t="e">
        <f t="shared" si="10"/>
        <v>#DIV/0!</v>
      </c>
      <c r="N27" s="24" t="e">
        <f t="shared" si="10"/>
        <v>#DIV/0!</v>
      </c>
      <c r="O27" s="24" t="e">
        <f t="shared" si="10"/>
        <v>#DIV/0!</v>
      </c>
    </row>
    <row r="28" spans="1:15">
      <c r="C28" s="111"/>
      <c r="D28" s="7" t="s">
        <v>32</v>
      </c>
      <c r="E28" s="22" t="s">
        <v>28</v>
      </c>
      <c r="F28" s="23" t="e">
        <f>F12/F7</f>
        <v>#DIV/0!</v>
      </c>
      <c r="G28" s="23" t="e">
        <f t="shared" ref="G28:O28" si="11">G12/G7</f>
        <v>#DIV/0!</v>
      </c>
      <c r="H28" s="23" t="e">
        <f t="shared" si="11"/>
        <v>#DIV/0!</v>
      </c>
      <c r="I28" s="23" t="e">
        <f t="shared" si="11"/>
        <v>#DIV/0!</v>
      </c>
      <c r="J28" s="23" t="e">
        <f t="shared" si="11"/>
        <v>#DIV/0!</v>
      </c>
      <c r="K28" s="23">
        <f t="shared" si="11"/>
        <v>0.62152080343646132</v>
      </c>
      <c r="L28" s="23" t="e">
        <f t="shared" si="11"/>
        <v>#DIV/0!</v>
      </c>
      <c r="M28" s="23" t="e">
        <f t="shared" si="11"/>
        <v>#DIV/0!</v>
      </c>
      <c r="N28" s="23" t="e">
        <f t="shared" si="11"/>
        <v>#DIV/0!</v>
      </c>
      <c r="O28" s="23" t="e">
        <f t="shared" si="11"/>
        <v>#DIV/0!</v>
      </c>
    </row>
    <row r="29" spans="1:15">
      <c r="C29" s="111"/>
      <c r="E29" s="22" t="s">
        <v>29</v>
      </c>
      <c r="F29" s="23" t="e">
        <f>F15/F7</f>
        <v>#DIV/0!</v>
      </c>
      <c r="G29" s="23" t="e">
        <f t="shared" ref="G29:O29" si="12">G15/G7</f>
        <v>#DIV/0!</v>
      </c>
      <c r="H29" s="23" t="e">
        <f t="shared" si="12"/>
        <v>#DIV/0!</v>
      </c>
      <c r="I29" s="23" t="e">
        <f t="shared" si="12"/>
        <v>#DIV/0!</v>
      </c>
      <c r="J29" s="23" t="e">
        <f t="shared" si="12"/>
        <v>#DIV/0!</v>
      </c>
      <c r="K29" s="23">
        <f t="shared" si="12"/>
        <v>0.62711483660814749</v>
      </c>
      <c r="L29" s="23" t="e">
        <f t="shared" si="12"/>
        <v>#DIV/0!</v>
      </c>
      <c r="M29" s="23" t="e">
        <f t="shared" si="12"/>
        <v>#DIV/0!</v>
      </c>
      <c r="N29" s="23" t="e">
        <f t="shared" si="12"/>
        <v>#DIV/0!</v>
      </c>
      <c r="O29" s="23" t="e">
        <f t="shared" si="12"/>
        <v>#DIV/0!</v>
      </c>
    </row>
    <row r="30" spans="1:15">
      <c r="C30" s="111"/>
      <c r="E30" s="22" t="s">
        <v>30</v>
      </c>
      <c r="F30" s="67" t="e">
        <f>(SUM(F18:F21)-F22)/F7</f>
        <v>#DIV/0!</v>
      </c>
      <c r="G30" s="67" t="e">
        <f t="shared" ref="G30:O30" si="13">(SUM(G18:G21)-G22)/G7</f>
        <v>#DIV/0!</v>
      </c>
      <c r="H30" s="67" t="e">
        <f t="shared" si="13"/>
        <v>#DIV/0!</v>
      </c>
      <c r="I30" s="67" t="e">
        <f t="shared" si="13"/>
        <v>#DIV/0!</v>
      </c>
      <c r="J30" s="67" t="e">
        <f t="shared" si="13"/>
        <v>#DIV/0!</v>
      </c>
      <c r="K30" s="67">
        <f t="shared" si="13"/>
        <v>0.37885784074907386</v>
      </c>
      <c r="L30" s="67" t="e">
        <f t="shared" si="13"/>
        <v>#DIV/0!</v>
      </c>
      <c r="M30" s="67" t="e">
        <f t="shared" si="13"/>
        <v>#DIV/0!</v>
      </c>
      <c r="N30" s="67" t="e">
        <f t="shared" si="13"/>
        <v>#DIV/0!</v>
      </c>
      <c r="O30" s="67" t="e">
        <f t="shared" si="13"/>
        <v>#DIV/0!</v>
      </c>
    </row>
    <row r="31" spans="1:15">
      <c r="C31" s="111"/>
      <c r="E31" s="22" t="s">
        <v>112</v>
      </c>
      <c r="F31" s="24" t="e">
        <f>F29+F30</f>
        <v>#DIV/0!</v>
      </c>
      <c r="G31" s="24" t="e">
        <f t="shared" ref="G31:O31" si="14">G29+G30</f>
        <v>#DIV/0!</v>
      </c>
      <c r="H31" s="24" t="e">
        <f t="shared" si="14"/>
        <v>#DIV/0!</v>
      </c>
      <c r="I31" s="24" t="e">
        <f t="shared" si="14"/>
        <v>#DIV/0!</v>
      </c>
      <c r="J31" s="24" t="e">
        <f t="shared" si="14"/>
        <v>#DIV/0!</v>
      </c>
      <c r="K31" s="24">
        <f t="shared" si="14"/>
        <v>1.0059726773572213</v>
      </c>
      <c r="L31" s="24" t="e">
        <f t="shared" si="14"/>
        <v>#DIV/0!</v>
      </c>
      <c r="M31" s="24" t="e">
        <f t="shared" si="14"/>
        <v>#DIV/0!</v>
      </c>
      <c r="N31" s="24" t="e">
        <f t="shared" si="14"/>
        <v>#DIV/0!</v>
      </c>
      <c r="O31" s="24" t="e">
        <f t="shared" si="14"/>
        <v>#DIV/0!</v>
      </c>
    </row>
    <row r="32" spans="1:15">
      <c r="C32" s="111"/>
      <c r="E32" s="22" t="s">
        <v>33</v>
      </c>
      <c r="F32" s="67" t="e">
        <f>F3/F2</f>
        <v>#DIV/0!</v>
      </c>
      <c r="G32" s="67" t="e">
        <f t="shared" ref="G32:O32" si="15">G3/G2</f>
        <v>#DIV/0!</v>
      </c>
      <c r="H32" s="67" t="e">
        <f t="shared" si="15"/>
        <v>#DIV/0!</v>
      </c>
      <c r="I32" s="67" t="e">
        <f t="shared" si="15"/>
        <v>#DIV/0!</v>
      </c>
      <c r="J32" s="67" t="e">
        <f t="shared" si="15"/>
        <v>#DIV/0!</v>
      </c>
      <c r="K32" s="67">
        <f t="shared" si="15"/>
        <v>0.12685853311042736</v>
      </c>
      <c r="L32" s="67" t="e">
        <f t="shared" si="15"/>
        <v>#DIV/0!</v>
      </c>
      <c r="M32" s="67" t="e">
        <f t="shared" si="15"/>
        <v>#DIV/0!</v>
      </c>
      <c r="N32" s="67" t="e">
        <f t="shared" si="15"/>
        <v>#DIV/0!</v>
      </c>
      <c r="O32" s="67" t="e">
        <f t="shared" si="15"/>
        <v>#DIV/0!</v>
      </c>
    </row>
    <row r="33" spans="1:15"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</row>
    <row r="34" spans="1:15" ht="16.5" customHeight="1">
      <c r="A34" s="109" t="s">
        <v>34</v>
      </c>
      <c r="B34" s="109"/>
      <c r="C34" s="113" t="s">
        <v>35</v>
      </c>
      <c r="E34" s="32" t="s">
        <v>36</v>
      </c>
      <c r="F34" s="29"/>
      <c r="G34" s="29"/>
      <c r="H34" s="29"/>
      <c r="I34" s="29"/>
      <c r="J34" s="29"/>
      <c r="K34" s="29">
        <v>113122</v>
      </c>
      <c r="L34" s="30"/>
      <c r="M34" s="30"/>
      <c r="N34" s="30"/>
      <c r="O34" s="30"/>
    </row>
    <row r="35" spans="1:15" ht="16.5" customHeight="1">
      <c r="A35" s="109"/>
      <c r="B35" s="109"/>
      <c r="C35" s="113"/>
      <c r="E35" s="32" t="s">
        <v>37</v>
      </c>
      <c r="F35" s="29"/>
      <c r="G35" s="29"/>
      <c r="H35" s="30"/>
      <c r="I35" s="29"/>
      <c r="J35" s="29"/>
      <c r="K35" s="29"/>
      <c r="L35" s="30"/>
      <c r="M35" s="30"/>
      <c r="N35" s="30"/>
      <c r="O35" s="30"/>
    </row>
    <row r="36" spans="1:15" ht="16.5">
      <c r="C36" s="113"/>
      <c r="E36" s="32" t="s">
        <v>38</v>
      </c>
      <c r="F36" s="29"/>
      <c r="G36" s="29"/>
      <c r="H36" s="29"/>
      <c r="I36" s="29"/>
      <c r="J36" s="29"/>
      <c r="K36" s="29">
        <v>19519158</v>
      </c>
      <c r="L36" s="30"/>
      <c r="M36" s="30"/>
      <c r="N36" s="30"/>
      <c r="O36" s="30"/>
    </row>
    <row r="37" spans="1:15" ht="16.5">
      <c r="C37" s="113"/>
      <c r="E37" s="32" t="s">
        <v>39</v>
      </c>
      <c r="F37" s="29"/>
      <c r="G37" s="29"/>
      <c r="H37" s="29"/>
      <c r="I37" s="29"/>
      <c r="J37" s="29"/>
      <c r="K37" s="29">
        <v>35162241</v>
      </c>
      <c r="L37" s="30"/>
      <c r="M37" s="30"/>
      <c r="N37" s="30"/>
      <c r="O37" s="30"/>
    </row>
    <row r="38" spans="1:15" ht="16.5">
      <c r="C38" s="113"/>
      <c r="E38" s="32" t="s">
        <v>40</v>
      </c>
      <c r="F38" s="29"/>
      <c r="G38" s="29"/>
      <c r="H38" s="29"/>
      <c r="I38" s="29"/>
      <c r="J38" s="29"/>
      <c r="K38" s="29">
        <v>180000</v>
      </c>
      <c r="L38" s="30"/>
      <c r="M38" s="30"/>
      <c r="N38" s="30"/>
      <c r="O38" s="30"/>
    </row>
    <row r="39" spans="1:15" ht="16.5">
      <c r="C39" s="113"/>
      <c r="E39" s="32" t="s">
        <v>41</v>
      </c>
      <c r="F39" s="29"/>
      <c r="G39" s="29"/>
      <c r="H39" s="29"/>
      <c r="I39" s="29"/>
      <c r="J39" s="29"/>
      <c r="K39" s="29">
        <v>20802423</v>
      </c>
      <c r="L39" s="30"/>
      <c r="M39" s="30"/>
      <c r="N39" s="30"/>
      <c r="O39" s="30"/>
    </row>
    <row r="40" spans="1:15" ht="16.5">
      <c r="C40" s="113"/>
      <c r="E40" s="32" t="s">
        <v>90</v>
      </c>
      <c r="F40" s="29"/>
      <c r="G40" s="29"/>
      <c r="H40" s="29"/>
      <c r="I40" s="29"/>
      <c r="J40" s="29"/>
      <c r="K40" s="29"/>
      <c r="L40" s="30"/>
      <c r="M40" s="30"/>
      <c r="N40" s="30"/>
      <c r="O40" s="30"/>
    </row>
    <row r="41" spans="1:15" ht="16.5">
      <c r="C41" s="113"/>
      <c r="E41" s="32" t="s">
        <v>42</v>
      </c>
      <c r="F41" s="29"/>
      <c r="G41" s="29"/>
      <c r="H41" s="29"/>
      <c r="I41" s="29"/>
      <c r="J41" s="29"/>
      <c r="K41" s="29">
        <v>10214345</v>
      </c>
      <c r="L41" s="30"/>
      <c r="M41" s="30"/>
      <c r="N41" s="30"/>
      <c r="O41" s="30"/>
    </row>
    <row r="42" spans="1:15" ht="16.5">
      <c r="C42" s="113"/>
      <c r="E42" s="32" t="s">
        <v>96</v>
      </c>
      <c r="F42" s="29"/>
      <c r="G42" s="29"/>
      <c r="H42" s="31"/>
      <c r="I42" s="31"/>
      <c r="J42" s="29"/>
      <c r="K42" s="29"/>
      <c r="L42" s="30"/>
      <c r="M42" s="30"/>
      <c r="N42" s="30"/>
      <c r="O42" s="30"/>
    </row>
    <row r="43" spans="1:15"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</row>
    <row r="44" spans="1:15" ht="16.5">
      <c r="C44" s="114" t="s">
        <v>43</v>
      </c>
      <c r="E44" s="32" t="s">
        <v>44</v>
      </c>
      <c r="F44" s="31"/>
      <c r="G44" s="31"/>
      <c r="H44" s="29"/>
      <c r="I44" s="29"/>
      <c r="J44" s="31"/>
      <c r="K44" s="29">
        <f>6068+2934960+1437907</f>
        <v>4378935</v>
      </c>
      <c r="L44" s="30"/>
      <c r="M44" s="30"/>
      <c r="N44" s="30"/>
      <c r="O44" s="30"/>
    </row>
    <row r="45" spans="1:15" ht="16.5">
      <c r="C45" s="114"/>
      <c r="E45" s="32" t="s">
        <v>45</v>
      </c>
      <c r="F45" s="31"/>
      <c r="G45" s="31"/>
      <c r="H45" s="29"/>
      <c r="I45" s="29"/>
      <c r="J45" s="31"/>
      <c r="K45" s="29">
        <f>11552+404347</f>
        <v>415899</v>
      </c>
      <c r="L45" s="30"/>
      <c r="M45" s="30"/>
      <c r="N45" s="30"/>
      <c r="O45" s="30"/>
    </row>
    <row r="46" spans="1:15" ht="16.5">
      <c r="C46" s="114"/>
      <c r="E46" s="18" t="s">
        <v>46</v>
      </c>
      <c r="F46" s="20">
        <f t="shared" ref="F46:O46" si="16">F47-SUM(F44:F45)</f>
        <v>0</v>
      </c>
      <c r="G46" s="20">
        <f t="shared" si="16"/>
        <v>0</v>
      </c>
      <c r="H46" s="20">
        <f t="shared" si="16"/>
        <v>0</v>
      </c>
      <c r="I46" s="20">
        <f t="shared" si="16"/>
        <v>0</v>
      </c>
      <c r="J46" s="20">
        <f t="shared" si="16"/>
        <v>0</v>
      </c>
      <c r="K46" s="20">
        <f t="shared" si="16"/>
        <v>821223</v>
      </c>
      <c r="L46" s="20">
        <f t="shared" si="16"/>
        <v>0</v>
      </c>
      <c r="M46" s="20">
        <f t="shared" si="16"/>
        <v>0</v>
      </c>
      <c r="N46" s="20">
        <f t="shared" si="16"/>
        <v>0</v>
      </c>
      <c r="O46" s="20">
        <f t="shared" si="16"/>
        <v>0</v>
      </c>
    </row>
    <row r="47" spans="1:15" ht="16.5">
      <c r="C47" s="114"/>
      <c r="E47" s="32" t="s">
        <v>47</v>
      </c>
      <c r="F47" s="28"/>
      <c r="G47" s="28"/>
      <c r="H47" s="28"/>
      <c r="I47" s="28"/>
      <c r="J47" s="28"/>
      <c r="K47" s="28">
        <v>5616057</v>
      </c>
      <c r="L47" s="28"/>
      <c r="M47" s="28"/>
      <c r="N47" s="28"/>
      <c r="O47" s="30"/>
    </row>
    <row r="48" spans="1:15" ht="16.5">
      <c r="C48" s="114"/>
      <c r="E48" s="32" t="s">
        <v>82</v>
      </c>
      <c r="F48" s="28"/>
      <c r="G48" s="28"/>
      <c r="H48" s="28"/>
      <c r="I48" s="28"/>
      <c r="J48" s="28"/>
      <c r="K48" s="28">
        <v>24132</v>
      </c>
      <c r="L48" s="30"/>
      <c r="M48" s="30"/>
      <c r="N48" s="30"/>
      <c r="O48" s="30"/>
    </row>
    <row r="49" spans="1:15"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</row>
    <row r="50" spans="1:15" ht="14.25" customHeight="1">
      <c r="C50" s="111" t="s">
        <v>26</v>
      </c>
      <c r="E50" s="22" t="s">
        <v>48</v>
      </c>
      <c r="F50" s="23" t="e">
        <f>(F47)/(SUM(F34:F42))</f>
        <v>#DIV/0!</v>
      </c>
      <c r="G50" s="23" t="e">
        <f t="shared" ref="G50:O50" si="17">(G47)/(SUM(G34:G42))</f>
        <v>#DIV/0!</v>
      </c>
      <c r="H50" s="23" t="e">
        <f t="shared" si="17"/>
        <v>#DIV/0!</v>
      </c>
      <c r="I50" s="23" t="e">
        <f t="shared" si="17"/>
        <v>#DIV/0!</v>
      </c>
      <c r="J50" s="23" t="e">
        <f t="shared" si="17"/>
        <v>#DIV/0!</v>
      </c>
      <c r="K50" s="23">
        <f t="shared" si="17"/>
        <v>6.5309603627409285E-2</v>
      </c>
      <c r="L50" s="23" t="e">
        <f t="shared" si="17"/>
        <v>#DIV/0!</v>
      </c>
      <c r="M50" s="23" t="e">
        <f t="shared" si="17"/>
        <v>#DIV/0!</v>
      </c>
      <c r="N50" s="23" t="e">
        <f t="shared" si="17"/>
        <v>#DIV/0!</v>
      </c>
      <c r="O50" s="23" t="e">
        <f t="shared" si="17"/>
        <v>#DIV/0!</v>
      </c>
    </row>
    <row r="51" spans="1:15">
      <c r="C51" s="111"/>
      <c r="E51" s="22" t="s">
        <v>49</v>
      </c>
      <c r="F51" s="23" t="e">
        <f>(F47+F48)/SUM(F34:F42)</f>
        <v>#DIV/0!</v>
      </c>
      <c r="G51" s="23" t="e">
        <f t="shared" ref="G51:O51" si="18">(G47+G48)/SUM(G34:G42)</f>
        <v>#DIV/0!</v>
      </c>
      <c r="H51" s="23" t="e">
        <f t="shared" si="18"/>
        <v>#DIV/0!</v>
      </c>
      <c r="I51" s="23" t="e">
        <f t="shared" si="18"/>
        <v>#DIV/0!</v>
      </c>
      <c r="J51" s="23" t="e">
        <f t="shared" si="18"/>
        <v>#DIV/0!</v>
      </c>
      <c r="K51" s="23">
        <f t="shared" si="18"/>
        <v>6.5590236704092197E-2</v>
      </c>
      <c r="L51" s="23" t="e">
        <f t="shared" si="18"/>
        <v>#DIV/0!</v>
      </c>
      <c r="M51" s="23" t="e">
        <f t="shared" si="18"/>
        <v>#DIV/0!</v>
      </c>
      <c r="N51" s="23" t="e">
        <f t="shared" si="18"/>
        <v>#DIV/0!</v>
      </c>
      <c r="O51" s="23" t="e">
        <f t="shared" si="18"/>
        <v>#DIV/0!</v>
      </c>
    </row>
    <row r="52" spans="1:15">
      <c r="C52" s="11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</row>
    <row r="53" spans="1:15">
      <c r="C53" s="11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</row>
    <row r="54" spans="1:15" ht="14.25" customHeight="1">
      <c r="C54" s="111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</row>
    <row r="55" spans="1:15" ht="14.25" customHeight="1">
      <c r="C55" s="11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</row>
    <row r="56" spans="1:15" ht="16.5">
      <c r="E56" s="18"/>
      <c r="F56" s="21"/>
      <c r="G56" s="21"/>
      <c r="H56" s="21"/>
      <c r="I56" s="21"/>
      <c r="J56" s="21"/>
      <c r="K56" s="21"/>
      <c r="L56" s="21"/>
      <c r="M56" s="21"/>
      <c r="N56" s="21"/>
      <c r="O56" s="21"/>
    </row>
    <row r="57" spans="1:15" ht="14.25" customHeight="1">
      <c r="A57" s="109" t="s">
        <v>50</v>
      </c>
      <c r="B57" s="109"/>
      <c r="C57" s="111" t="s">
        <v>51</v>
      </c>
      <c r="E57" s="32" t="s">
        <v>52</v>
      </c>
      <c r="F57" s="30"/>
      <c r="G57" s="30"/>
      <c r="H57" s="30"/>
      <c r="I57" s="30"/>
      <c r="J57" s="30"/>
      <c r="K57" s="29">
        <v>131581472</v>
      </c>
      <c r="L57" s="30"/>
      <c r="M57" s="30"/>
      <c r="N57" s="30"/>
      <c r="O57" s="30"/>
    </row>
    <row r="58" spans="1:15" ht="16.5" customHeight="1">
      <c r="A58" s="109"/>
      <c r="B58" s="109"/>
      <c r="C58" s="111"/>
      <c r="E58" s="32" t="s">
        <v>53</v>
      </c>
      <c r="F58" s="30"/>
      <c r="G58" s="30"/>
      <c r="H58" s="30"/>
      <c r="I58" s="30"/>
      <c r="J58" s="30"/>
      <c r="K58" s="29">
        <v>96340939</v>
      </c>
      <c r="L58" s="30"/>
      <c r="M58" s="30"/>
      <c r="N58" s="30"/>
      <c r="O58" s="30"/>
    </row>
    <row r="59" spans="1:15" ht="16.5">
      <c r="C59" s="111"/>
      <c r="E59" s="32" t="s">
        <v>54</v>
      </c>
      <c r="F59" s="30"/>
      <c r="G59" s="30"/>
      <c r="H59" s="30"/>
      <c r="I59" s="30"/>
      <c r="J59" s="30"/>
      <c r="K59" s="29">
        <v>35240533</v>
      </c>
      <c r="L59" s="30"/>
      <c r="M59" s="30"/>
      <c r="N59" s="30"/>
      <c r="O59" s="30"/>
    </row>
    <row r="60" spans="1:15" ht="16.5">
      <c r="C60" s="111"/>
      <c r="E60" s="32" t="s">
        <v>175</v>
      </c>
      <c r="F60" s="30"/>
      <c r="G60" s="30"/>
      <c r="H60" s="30"/>
      <c r="I60" s="30"/>
      <c r="J60" s="30"/>
      <c r="K60" s="29">
        <v>6020975</v>
      </c>
      <c r="L60" s="30"/>
      <c r="M60" s="30"/>
      <c r="N60" s="30"/>
      <c r="O60" s="30"/>
    </row>
    <row r="61" spans="1:15" ht="16.5">
      <c r="C61" s="111"/>
      <c r="E61" s="32" t="s">
        <v>174</v>
      </c>
      <c r="F61" s="30"/>
      <c r="G61" s="30"/>
      <c r="H61" s="30"/>
      <c r="I61" s="30"/>
      <c r="J61" s="30"/>
      <c r="K61" s="29">
        <v>5978435</v>
      </c>
      <c r="L61" s="30"/>
      <c r="M61" s="30"/>
      <c r="N61" s="30"/>
      <c r="O61" s="30"/>
    </row>
    <row r="62" spans="1:15" ht="16.5">
      <c r="C62" s="111"/>
      <c r="E62" s="32" t="s">
        <v>55</v>
      </c>
      <c r="F62" s="30"/>
      <c r="G62" s="30"/>
      <c r="H62" s="30"/>
      <c r="I62" s="30"/>
      <c r="J62" s="30"/>
      <c r="K62" s="29">
        <v>4540074</v>
      </c>
      <c r="L62" s="30"/>
      <c r="M62" s="30"/>
      <c r="N62" s="30"/>
      <c r="O62" s="30"/>
    </row>
    <row r="63" spans="1:15">
      <c r="C63" s="111"/>
      <c r="E63" s="22" t="s">
        <v>56</v>
      </c>
      <c r="F63" s="22" t="e">
        <f>F62/F59</f>
        <v>#DIV/0!</v>
      </c>
      <c r="G63" s="22" t="e">
        <f t="shared" ref="G63:O63" si="19">G62/G59</f>
        <v>#DIV/0!</v>
      </c>
      <c r="H63" s="22" t="e">
        <f t="shared" si="19"/>
        <v>#DIV/0!</v>
      </c>
      <c r="I63" s="22" t="e">
        <f t="shared" si="19"/>
        <v>#DIV/0!</v>
      </c>
      <c r="J63" s="22" t="e">
        <f t="shared" si="19"/>
        <v>#DIV/0!</v>
      </c>
      <c r="K63" s="22">
        <f t="shared" si="19"/>
        <v>0.12883102534232385</v>
      </c>
      <c r="L63" s="22" t="e">
        <f t="shared" si="19"/>
        <v>#DIV/0!</v>
      </c>
      <c r="M63" s="22" t="e">
        <f t="shared" si="19"/>
        <v>#DIV/0!</v>
      </c>
      <c r="N63" s="22" t="e">
        <f t="shared" si="19"/>
        <v>#DIV/0!</v>
      </c>
      <c r="O63" s="22" t="e">
        <f t="shared" si="19"/>
        <v>#DIV/0!</v>
      </c>
    </row>
    <row r="64" spans="1:15">
      <c r="C64" s="111"/>
      <c r="E64" s="22" t="s">
        <v>144</v>
      </c>
      <c r="F64" s="22" t="e">
        <f>F58/F57</f>
        <v>#DIV/0!</v>
      </c>
      <c r="G64" s="22" t="e">
        <f t="shared" ref="G64:O64" si="20">G58/G57</f>
        <v>#DIV/0!</v>
      </c>
      <c r="H64" s="22" t="e">
        <f t="shared" si="20"/>
        <v>#DIV/0!</v>
      </c>
      <c r="I64" s="22" t="e">
        <f t="shared" si="20"/>
        <v>#DIV/0!</v>
      </c>
      <c r="J64" s="22" t="e">
        <f t="shared" si="20"/>
        <v>#DIV/0!</v>
      </c>
      <c r="K64" s="22">
        <f t="shared" si="20"/>
        <v>0.73217708797177772</v>
      </c>
      <c r="L64" s="22" t="e">
        <f t="shared" si="20"/>
        <v>#DIV/0!</v>
      </c>
      <c r="M64" s="22" t="e">
        <f t="shared" si="20"/>
        <v>#DIV/0!</v>
      </c>
      <c r="N64" s="22" t="e">
        <f t="shared" si="20"/>
        <v>#DIV/0!</v>
      </c>
      <c r="O64" s="22" t="e">
        <f t="shared" si="20"/>
        <v>#DIV/0!</v>
      </c>
    </row>
    <row r="65" spans="1:15">
      <c r="C65" s="111"/>
      <c r="E65" s="22" t="s">
        <v>145</v>
      </c>
      <c r="F65" s="22" t="e">
        <f>F58/F59</f>
        <v>#DIV/0!</v>
      </c>
      <c r="G65" s="22" t="e">
        <f t="shared" ref="G65:O65" si="21">G58/G59</f>
        <v>#DIV/0!</v>
      </c>
      <c r="H65" s="22" t="e">
        <f t="shared" si="21"/>
        <v>#DIV/0!</v>
      </c>
      <c r="I65" s="22" t="e">
        <f t="shared" si="21"/>
        <v>#DIV/0!</v>
      </c>
      <c r="J65" s="22" t="e">
        <f t="shared" si="21"/>
        <v>#DIV/0!</v>
      </c>
      <c r="K65" s="22">
        <f t="shared" si="21"/>
        <v>2.7338104959990246</v>
      </c>
      <c r="L65" s="22" t="e">
        <f t="shared" si="21"/>
        <v>#DIV/0!</v>
      </c>
      <c r="M65" s="22" t="e">
        <f t="shared" si="21"/>
        <v>#DIV/0!</v>
      </c>
      <c r="N65" s="22" t="e">
        <f t="shared" si="21"/>
        <v>#DIV/0!</v>
      </c>
      <c r="O65" s="22" t="e">
        <f t="shared" si="21"/>
        <v>#DIV/0!</v>
      </c>
    </row>
    <row r="66" spans="1:15">
      <c r="E66" s="21"/>
      <c r="F66" s="21"/>
      <c r="G66" s="21"/>
      <c r="H66" s="21"/>
      <c r="I66" s="21"/>
      <c r="J66" s="21"/>
      <c r="K66" s="21"/>
      <c r="L66" s="21"/>
      <c r="M66" s="21"/>
      <c r="N66" s="21"/>
      <c r="O66" s="21"/>
    </row>
    <row r="67" spans="1:15" ht="16.5" customHeight="1">
      <c r="A67" s="109" t="s">
        <v>57</v>
      </c>
      <c r="B67" s="109"/>
      <c r="C67" s="110" t="s">
        <v>58</v>
      </c>
      <c r="E67" s="32" t="s">
        <v>59</v>
      </c>
      <c r="F67" s="29"/>
      <c r="G67" s="29"/>
      <c r="H67" s="30"/>
      <c r="I67" s="30"/>
      <c r="J67" s="29"/>
      <c r="K67" s="29">
        <v>76176618</v>
      </c>
      <c r="L67" s="30"/>
      <c r="M67" s="30"/>
      <c r="N67" s="30"/>
      <c r="O67" s="30"/>
    </row>
    <row r="68" spans="1:15" ht="16.5" customHeight="1">
      <c r="A68" s="109"/>
      <c r="B68" s="109"/>
      <c r="C68" s="110"/>
      <c r="E68" s="32" t="s">
        <v>164</v>
      </c>
      <c r="F68" s="29"/>
      <c r="G68" s="29"/>
      <c r="H68" s="30"/>
      <c r="I68" s="30"/>
      <c r="J68" s="29"/>
      <c r="K68" s="29">
        <v>5103998</v>
      </c>
      <c r="L68" s="30"/>
      <c r="M68" s="30"/>
      <c r="N68" s="30"/>
      <c r="O68" s="30"/>
    </row>
    <row r="69" spans="1:15" ht="16.5">
      <c r="C69" s="110"/>
      <c r="E69" s="32" t="s">
        <v>60</v>
      </c>
      <c r="F69" s="29"/>
      <c r="G69" s="29"/>
      <c r="H69" s="30"/>
      <c r="I69" s="30"/>
      <c r="J69" s="29"/>
      <c r="K69" s="29">
        <v>3822932</v>
      </c>
      <c r="L69" s="30"/>
      <c r="M69" s="30"/>
      <c r="N69" s="30"/>
      <c r="O69" s="30"/>
    </row>
    <row r="70" spans="1:15" ht="16.5">
      <c r="C70" s="110"/>
      <c r="E70" s="32" t="s">
        <v>61</v>
      </c>
      <c r="F70" s="29"/>
      <c r="G70" s="29"/>
      <c r="H70" s="30"/>
      <c r="I70" s="30"/>
      <c r="J70" s="29"/>
      <c r="K70" s="30"/>
      <c r="L70" s="30"/>
      <c r="M70" s="30"/>
      <c r="N70" s="30"/>
      <c r="O70" s="30"/>
    </row>
    <row r="71" spans="1:15" ht="16.5">
      <c r="C71" s="110"/>
      <c r="E71" s="32" t="s">
        <v>62</v>
      </c>
      <c r="F71" s="29"/>
      <c r="G71" s="29"/>
      <c r="H71" s="30"/>
      <c r="I71" s="30"/>
      <c r="J71" s="29"/>
      <c r="K71" s="29">
        <v>2274816</v>
      </c>
      <c r="L71" s="30"/>
      <c r="M71" s="30"/>
      <c r="N71" s="30"/>
      <c r="O71" s="30"/>
    </row>
    <row r="72" spans="1:15" ht="16.5">
      <c r="C72" s="110"/>
      <c r="E72" s="32" t="s">
        <v>63</v>
      </c>
      <c r="F72" s="29"/>
      <c r="G72" s="29"/>
      <c r="H72" s="30"/>
      <c r="I72" s="30"/>
      <c r="J72" s="29"/>
      <c r="K72" s="29">
        <v>1907590</v>
      </c>
      <c r="L72" s="30"/>
      <c r="M72" s="30"/>
      <c r="N72" s="30"/>
      <c r="O72" s="30"/>
    </row>
    <row r="73" spans="1:15" ht="16.5">
      <c r="C73" s="110"/>
      <c r="E73" s="32" t="s">
        <v>163</v>
      </c>
      <c r="F73" s="29"/>
      <c r="G73" s="29"/>
      <c r="H73" s="30"/>
      <c r="I73" s="30"/>
      <c r="J73" s="29"/>
      <c r="K73" s="30"/>
      <c r="L73" s="30"/>
      <c r="M73" s="30"/>
      <c r="N73" s="30"/>
      <c r="O73" s="30"/>
    </row>
    <row r="74" spans="1:15" ht="16.5">
      <c r="C74" s="110"/>
      <c r="E74" s="32" t="s">
        <v>46</v>
      </c>
      <c r="F74" s="29"/>
      <c r="G74" s="29"/>
      <c r="H74" s="30"/>
      <c r="I74" s="30"/>
      <c r="J74" s="29"/>
      <c r="K74" s="29">
        <v>6909467</v>
      </c>
      <c r="L74" s="30"/>
      <c r="M74" s="30"/>
      <c r="N74" s="30"/>
      <c r="O74" s="30"/>
    </row>
    <row r="75" spans="1:15" ht="16.5">
      <c r="E75" s="18"/>
      <c r="F75" s="20"/>
      <c r="G75" s="20"/>
      <c r="H75" s="21"/>
      <c r="I75" s="21"/>
      <c r="J75" s="20"/>
      <c r="K75" s="21"/>
      <c r="L75" s="21"/>
      <c r="M75" s="21"/>
      <c r="N75" s="21"/>
      <c r="O75" s="21"/>
    </row>
    <row r="76" spans="1:15" ht="16.5" customHeight="1">
      <c r="C76" s="110" t="s">
        <v>64</v>
      </c>
      <c r="E76" s="32" t="s">
        <v>59</v>
      </c>
      <c r="F76" s="29"/>
      <c r="G76" s="29"/>
      <c r="H76" s="30"/>
      <c r="I76" s="30"/>
      <c r="J76" s="29"/>
      <c r="K76" s="30">
        <v>46373978</v>
      </c>
      <c r="L76" s="30"/>
      <c r="M76" s="30"/>
      <c r="N76" s="30"/>
      <c r="O76" s="30"/>
    </row>
    <row r="77" spans="1:15" ht="16.5">
      <c r="C77" s="110"/>
      <c r="E77" s="32" t="s">
        <v>164</v>
      </c>
      <c r="F77" s="29"/>
      <c r="G77" s="29"/>
      <c r="H77" s="30"/>
      <c r="I77" s="30"/>
      <c r="J77" s="29"/>
      <c r="K77" s="29">
        <v>3608938</v>
      </c>
      <c r="L77" s="30"/>
      <c r="M77" s="30"/>
      <c r="N77" s="30"/>
      <c r="O77" s="30"/>
    </row>
    <row r="78" spans="1:15" ht="16.5">
      <c r="C78" s="110"/>
      <c r="E78" s="32" t="s">
        <v>60</v>
      </c>
      <c r="F78" s="29"/>
      <c r="G78" s="29"/>
      <c r="H78" s="30"/>
      <c r="I78" s="30"/>
      <c r="J78" s="29"/>
      <c r="K78" s="29">
        <v>2286516</v>
      </c>
      <c r="L78" s="30"/>
      <c r="M78" s="30"/>
      <c r="N78" s="30"/>
      <c r="O78" s="30"/>
    </row>
    <row r="79" spans="1:15" ht="16.5">
      <c r="C79" s="110"/>
      <c r="E79" s="32" t="s">
        <v>61</v>
      </c>
      <c r="F79" s="29"/>
      <c r="G79" s="29"/>
      <c r="H79" s="30"/>
      <c r="I79" s="30"/>
      <c r="J79" s="29"/>
      <c r="K79" s="30"/>
      <c r="L79" s="30"/>
      <c r="M79" s="30"/>
      <c r="N79" s="30"/>
      <c r="O79" s="30"/>
    </row>
    <row r="80" spans="1:15" ht="16.5">
      <c r="C80" s="110"/>
      <c r="E80" s="32" t="s">
        <v>62</v>
      </c>
      <c r="F80" s="29"/>
      <c r="G80" s="29"/>
      <c r="H80" s="30"/>
      <c r="I80" s="30"/>
      <c r="J80" s="29"/>
      <c r="K80" s="30">
        <f>1233479+1474446</f>
        <v>2707925</v>
      </c>
      <c r="L80" s="30"/>
      <c r="M80" s="30"/>
      <c r="N80" s="30"/>
      <c r="O80" s="30"/>
    </row>
    <row r="81" spans="3:15" ht="16.5">
      <c r="C81" s="110"/>
      <c r="E81" s="32" t="s">
        <v>63</v>
      </c>
      <c r="F81" s="29"/>
      <c r="G81" s="29"/>
      <c r="H81" s="30"/>
      <c r="I81" s="30"/>
      <c r="J81" s="29"/>
      <c r="K81" s="29">
        <v>1225000</v>
      </c>
      <c r="L81" s="30"/>
      <c r="M81" s="30"/>
      <c r="N81" s="30"/>
      <c r="O81" s="30"/>
    </row>
    <row r="82" spans="3:15" ht="16.5">
      <c r="C82" s="110"/>
      <c r="E82" s="32" t="s">
        <v>163</v>
      </c>
      <c r="F82" s="29"/>
      <c r="G82" s="29"/>
      <c r="H82" s="30"/>
      <c r="I82" s="30"/>
      <c r="J82" s="29"/>
      <c r="K82" s="30"/>
      <c r="L82" s="30"/>
      <c r="M82" s="30"/>
      <c r="N82" s="30"/>
      <c r="O82" s="30"/>
    </row>
    <row r="83" spans="3:15" ht="16.5">
      <c r="C83" s="110"/>
      <c r="E83" s="32" t="s">
        <v>46</v>
      </c>
      <c r="F83" s="29"/>
      <c r="G83" s="29"/>
      <c r="H83" s="30"/>
      <c r="I83" s="30"/>
      <c r="J83" s="29"/>
      <c r="K83" s="29">
        <v>3805866</v>
      </c>
      <c r="L83" s="30"/>
      <c r="M83" s="30"/>
      <c r="N83" s="30"/>
      <c r="O83" s="30"/>
    </row>
    <row r="84" spans="3:15">
      <c r="E84" s="21"/>
      <c r="F84" s="20"/>
      <c r="G84" s="20"/>
      <c r="H84" s="21"/>
      <c r="I84" s="21"/>
      <c r="J84" s="20"/>
      <c r="K84" s="21"/>
      <c r="L84" s="21"/>
      <c r="M84" s="21"/>
      <c r="N84" s="21"/>
      <c r="O84" s="21"/>
    </row>
    <row r="85" spans="3:15" ht="14.25" customHeight="1">
      <c r="C85" s="110" t="s">
        <v>65</v>
      </c>
      <c r="D85" s="8" t="s">
        <v>66</v>
      </c>
      <c r="E85" s="32" t="s">
        <v>59</v>
      </c>
      <c r="F85" s="29"/>
      <c r="G85" s="29"/>
      <c r="H85" s="30"/>
      <c r="I85" s="30"/>
      <c r="J85" s="29"/>
      <c r="K85" s="29">
        <v>50228000</v>
      </c>
      <c r="L85" s="30"/>
      <c r="M85" s="30"/>
      <c r="N85" s="30"/>
      <c r="O85" s="30"/>
    </row>
    <row r="86" spans="3:15" ht="16.5">
      <c r="C86" s="110"/>
      <c r="E86" s="32" t="s">
        <v>164</v>
      </c>
      <c r="F86" s="29"/>
      <c r="G86" s="29"/>
      <c r="H86" s="30"/>
      <c r="I86" s="30"/>
      <c r="J86" s="29"/>
      <c r="K86" s="29">
        <v>6109000</v>
      </c>
      <c r="L86" s="30"/>
      <c r="M86" s="30"/>
      <c r="N86" s="30"/>
      <c r="O86" s="30"/>
    </row>
    <row r="87" spans="3:15" ht="16.5">
      <c r="C87" s="110"/>
      <c r="E87" s="32" t="s">
        <v>60</v>
      </c>
      <c r="F87" s="29"/>
      <c r="G87" s="29"/>
      <c r="H87" s="30"/>
      <c r="I87" s="30"/>
      <c r="J87" s="29"/>
      <c r="K87" s="29">
        <v>4418000</v>
      </c>
      <c r="L87" s="30"/>
      <c r="M87" s="30"/>
      <c r="N87" s="30"/>
      <c r="O87" s="30"/>
    </row>
    <row r="88" spans="3:15" ht="16.5">
      <c r="C88" s="110"/>
      <c r="E88" s="32" t="s">
        <v>61</v>
      </c>
      <c r="F88" s="29"/>
      <c r="G88" s="29"/>
      <c r="H88" s="30"/>
      <c r="I88" s="30"/>
      <c r="J88" s="29"/>
      <c r="K88" s="30"/>
      <c r="L88" s="30"/>
      <c r="M88" s="30"/>
      <c r="N88" s="30"/>
      <c r="O88" s="30"/>
    </row>
    <row r="89" spans="3:15" ht="16.5">
      <c r="C89" s="110"/>
      <c r="E89" s="32" t="s">
        <v>62</v>
      </c>
      <c r="F89" s="29"/>
      <c r="G89" s="29"/>
      <c r="H89" s="30"/>
      <c r="I89" s="30"/>
      <c r="J89" s="29"/>
      <c r="K89" s="29">
        <v>2069000</v>
      </c>
      <c r="L89" s="30"/>
      <c r="M89" s="30"/>
      <c r="N89" s="30"/>
      <c r="O89" s="30"/>
    </row>
    <row r="90" spans="3:15" ht="16.5">
      <c r="C90" s="110"/>
      <c r="E90" s="32" t="s">
        <v>63</v>
      </c>
      <c r="F90" s="29"/>
      <c r="G90" s="29"/>
      <c r="H90" s="30"/>
      <c r="I90" s="30"/>
      <c r="J90" s="29"/>
      <c r="K90" s="29">
        <v>1422000</v>
      </c>
      <c r="L90" s="30"/>
      <c r="M90" s="30"/>
      <c r="N90" s="30"/>
      <c r="O90" s="30"/>
    </row>
    <row r="91" spans="3:15" ht="16.5">
      <c r="C91" s="110"/>
      <c r="E91" s="32" t="s">
        <v>163</v>
      </c>
      <c r="F91" s="29"/>
      <c r="G91" s="29"/>
      <c r="H91" s="30"/>
      <c r="I91" s="30"/>
      <c r="J91" s="29"/>
      <c r="K91" s="30"/>
      <c r="L91" s="30"/>
      <c r="M91" s="30"/>
      <c r="N91" s="30"/>
      <c r="O91" s="30"/>
    </row>
    <row r="92" spans="3:15" ht="16.5">
      <c r="C92" s="110"/>
      <c r="E92" s="32" t="s">
        <v>46</v>
      </c>
      <c r="F92" s="29"/>
      <c r="G92" s="29"/>
      <c r="H92" s="30"/>
      <c r="I92" s="30"/>
      <c r="J92" s="29"/>
      <c r="K92" s="30"/>
      <c r="L92" s="30"/>
      <c r="M92" s="30"/>
      <c r="N92" s="30"/>
      <c r="O92" s="30"/>
    </row>
    <row r="93" spans="3:15">
      <c r="E93" s="21"/>
      <c r="F93" s="20"/>
      <c r="G93" s="20"/>
      <c r="H93" s="21"/>
      <c r="I93" s="21"/>
      <c r="J93" s="20"/>
      <c r="K93" s="21"/>
      <c r="L93" s="21"/>
      <c r="M93" s="21"/>
      <c r="N93" s="21"/>
      <c r="O93" s="21"/>
    </row>
    <row r="94" spans="3:15" ht="16.5" customHeight="1">
      <c r="C94" s="110" t="s">
        <v>67</v>
      </c>
      <c r="E94" s="32" t="s">
        <v>59</v>
      </c>
      <c r="F94" s="29"/>
      <c r="G94" s="29"/>
      <c r="H94" s="30"/>
      <c r="I94" s="30"/>
      <c r="J94" s="29"/>
      <c r="K94" s="29">
        <v>1925000</v>
      </c>
      <c r="L94" s="30"/>
      <c r="M94" s="30"/>
      <c r="N94" s="30"/>
      <c r="O94" s="30"/>
    </row>
    <row r="95" spans="3:15" ht="16.5">
      <c r="C95" s="110"/>
      <c r="E95" s="32" t="s">
        <v>164</v>
      </c>
      <c r="F95" s="29"/>
      <c r="G95" s="29"/>
      <c r="H95" s="30"/>
      <c r="I95" s="30"/>
      <c r="J95" s="29"/>
      <c r="K95" s="30">
        <v>-497000</v>
      </c>
      <c r="L95" s="30"/>
      <c r="M95" s="30"/>
      <c r="N95" s="30"/>
      <c r="O95" s="30"/>
    </row>
    <row r="96" spans="3:15" ht="16.5">
      <c r="C96" s="110"/>
      <c r="E96" s="32" t="s">
        <v>60</v>
      </c>
      <c r="F96" s="29"/>
      <c r="G96" s="29"/>
      <c r="H96" s="30"/>
      <c r="I96" s="30"/>
      <c r="J96" s="29"/>
      <c r="K96" s="30">
        <v>-471000</v>
      </c>
      <c r="L96" s="30"/>
      <c r="M96" s="30"/>
      <c r="N96" s="30"/>
      <c r="O96" s="30"/>
    </row>
    <row r="97" spans="3:15" ht="16.5">
      <c r="C97" s="110"/>
      <c r="E97" s="32" t="s">
        <v>61</v>
      </c>
      <c r="F97" s="29"/>
      <c r="G97" s="29"/>
      <c r="H97" s="30"/>
      <c r="I97" s="30"/>
      <c r="J97" s="29"/>
      <c r="K97" s="30"/>
      <c r="L97" s="30"/>
      <c r="M97" s="30"/>
      <c r="N97" s="30"/>
      <c r="O97" s="30"/>
    </row>
    <row r="98" spans="3:15" ht="16.5">
      <c r="C98" s="110"/>
      <c r="E98" s="32" t="s">
        <v>62</v>
      </c>
      <c r="F98" s="29"/>
      <c r="G98" s="29"/>
      <c r="H98" s="30"/>
      <c r="I98" s="30"/>
      <c r="J98" s="29"/>
      <c r="K98" s="30">
        <v>106000</v>
      </c>
      <c r="L98" s="30"/>
      <c r="M98" s="30"/>
      <c r="N98" s="30"/>
      <c r="O98" s="30"/>
    </row>
    <row r="99" spans="3:15" ht="16.5">
      <c r="C99" s="110"/>
      <c r="E99" s="32" t="s">
        <v>63</v>
      </c>
      <c r="F99" s="29"/>
      <c r="G99" s="29"/>
      <c r="H99" s="30"/>
      <c r="I99" s="30"/>
      <c r="J99" s="29"/>
      <c r="K99" s="30">
        <v>-3000</v>
      </c>
      <c r="L99" s="30"/>
      <c r="M99" s="30"/>
      <c r="N99" s="30"/>
      <c r="O99" s="30"/>
    </row>
    <row r="100" spans="3:15" ht="16.5">
      <c r="C100" s="110"/>
      <c r="E100" s="32" t="s">
        <v>163</v>
      </c>
      <c r="F100" s="29"/>
      <c r="G100" s="29"/>
      <c r="H100" s="30"/>
      <c r="I100" s="30"/>
      <c r="J100" s="29"/>
      <c r="K100" s="30"/>
      <c r="L100" s="30"/>
      <c r="M100" s="30"/>
      <c r="N100" s="30"/>
      <c r="O100" s="30"/>
    </row>
    <row r="101" spans="3:15" ht="16.5">
      <c r="C101" s="110"/>
      <c r="E101" s="32" t="s">
        <v>46</v>
      </c>
      <c r="F101" s="29"/>
      <c r="G101" s="29"/>
      <c r="H101" s="30"/>
      <c r="I101" s="30"/>
      <c r="J101" s="29"/>
      <c r="K101" s="30"/>
      <c r="L101" s="30"/>
      <c r="M101" s="30"/>
      <c r="N101" s="30"/>
      <c r="O101" s="30"/>
    </row>
    <row r="102" spans="3:15">
      <c r="E102" s="21"/>
      <c r="F102" s="20"/>
      <c r="G102" s="20"/>
      <c r="H102" s="21"/>
      <c r="I102" s="21"/>
      <c r="J102" s="20"/>
      <c r="K102" s="21"/>
      <c r="L102" s="21"/>
      <c r="M102" s="21"/>
      <c r="N102" s="21"/>
      <c r="O102" s="21"/>
    </row>
    <row r="103" spans="3:15" ht="16.5" customHeight="1">
      <c r="C103" s="111" t="s">
        <v>26</v>
      </c>
      <c r="D103" s="9" t="s">
        <v>68</v>
      </c>
      <c r="E103" s="22" t="s">
        <v>59</v>
      </c>
      <c r="F103" s="23" t="e">
        <f>F76/F67</f>
        <v>#DIV/0!</v>
      </c>
      <c r="G103" s="23" t="e">
        <f t="shared" ref="G103:O103" si="22">G76/G67</f>
        <v>#DIV/0!</v>
      </c>
      <c r="H103" s="23" t="e">
        <f t="shared" si="22"/>
        <v>#DIV/0!</v>
      </c>
      <c r="I103" s="23" t="e">
        <f t="shared" si="22"/>
        <v>#DIV/0!</v>
      </c>
      <c r="J103" s="23" t="e">
        <f t="shared" si="22"/>
        <v>#DIV/0!</v>
      </c>
      <c r="K103" s="23">
        <f t="shared" si="22"/>
        <v>0.60876918951691972</v>
      </c>
      <c r="L103" s="23" t="e">
        <f t="shared" si="22"/>
        <v>#DIV/0!</v>
      </c>
      <c r="M103" s="23" t="e">
        <f t="shared" si="22"/>
        <v>#DIV/0!</v>
      </c>
      <c r="N103" s="23" t="e">
        <f t="shared" si="22"/>
        <v>#DIV/0!</v>
      </c>
      <c r="O103" s="23" t="e">
        <f t="shared" si="22"/>
        <v>#DIV/0!</v>
      </c>
    </row>
    <row r="104" spans="3:15">
      <c r="C104" s="111"/>
      <c r="D104" s="10" t="s">
        <v>69</v>
      </c>
      <c r="E104" s="22" t="s">
        <v>164</v>
      </c>
      <c r="F104" s="23" t="e">
        <f t="shared" ref="F104:O109" si="23">F77/F68</f>
        <v>#DIV/0!</v>
      </c>
      <c r="G104" s="23" t="e">
        <f t="shared" si="23"/>
        <v>#DIV/0!</v>
      </c>
      <c r="H104" s="23" t="e">
        <f t="shared" si="23"/>
        <v>#DIV/0!</v>
      </c>
      <c r="I104" s="23" t="e">
        <f t="shared" si="23"/>
        <v>#DIV/0!</v>
      </c>
      <c r="J104" s="23" t="e">
        <f t="shared" si="23"/>
        <v>#DIV/0!</v>
      </c>
      <c r="K104" s="23">
        <f t="shared" si="23"/>
        <v>0.70708060622280811</v>
      </c>
      <c r="L104" s="23" t="e">
        <f t="shared" si="23"/>
        <v>#DIV/0!</v>
      </c>
      <c r="M104" s="23" t="e">
        <f t="shared" si="23"/>
        <v>#DIV/0!</v>
      </c>
      <c r="N104" s="23" t="e">
        <f t="shared" si="23"/>
        <v>#DIV/0!</v>
      </c>
      <c r="O104" s="23" t="e">
        <f t="shared" si="23"/>
        <v>#DIV/0!</v>
      </c>
    </row>
    <row r="105" spans="3:15">
      <c r="C105" s="111"/>
      <c r="E105" s="22" t="s">
        <v>60</v>
      </c>
      <c r="F105" s="23" t="e">
        <f t="shared" si="23"/>
        <v>#DIV/0!</v>
      </c>
      <c r="G105" s="23" t="e">
        <f t="shared" si="23"/>
        <v>#DIV/0!</v>
      </c>
      <c r="H105" s="23" t="e">
        <f t="shared" si="23"/>
        <v>#DIV/0!</v>
      </c>
      <c r="I105" s="23" t="e">
        <f t="shared" si="23"/>
        <v>#DIV/0!</v>
      </c>
      <c r="J105" s="23" t="e">
        <f t="shared" si="23"/>
        <v>#DIV/0!</v>
      </c>
      <c r="K105" s="23">
        <f t="shared" si="23"/>
        <v>0.59810532858026244</v>
      </c>
      <c r="L105" s="23" t="e">
        <f t="shared" si="23"/>
        <v>#DIV/0!</v>
      </c>
      <c r="M105" s="23" t="e">
        <f t="shared" si="23"/>
        <v>#DIV/0!</v>
      </c>
      <c r="N105" s="23" t="e">
        <f t="shared" si="23"/>
        <v>#DIV/0!</v>
      </c>
      <c r="O105" s="23" t="e">
        <f t="shared" si="23"/>
        <v>#DIV/0!</v>
      </c>
    </row>
    <row r="106" spans="3:15">
      <c r="C106" s="111"/>
      <c r="E106" s="22" t="s">
        <v>61</v>
      </c>
      <c r="F106" s="23" t="e">
        <f t="shared" si="23"/>
        <v>#DIV/0!</v>
      </c>
      <c r="G106" s="23" t="e">
        <f t="shared" si="23"/>
        <v>#DIV/0!</v>
      </c>
      <c r="H106" s="23" t="e">
        <f t="shared" si="23"/>
        <v>#DIV/0!</v>
      </c>
      <c r="I106" s="23" t="e">
        <f t="shared" si="23"/>
        <v>#DIV/0!</v>
      </c>
      <c r="J106" s="23" t="e">
        <f t="shared" si="23"/>
        <v>#DIV/0!</v>
      </c>
      <c r="K106" s="23" t="e">
        <f t="shared" si="23"/>
        <v>#DIV/0!</v>
      </c>
      <c r="L106" s="23" t="e">
        <f t="shared" si="23"/>
        <v>#DIV/0!</v>
      </c>
      <c r="M106" s="23" t="e">
        <f t="shared" si="23"/>
        <v>#DIV/0!</v>
      </c>
      <c r="N106" s="23" t="e">
        <f t="shared" si="23"/>
        <v>#DIV/0!</v>
      </c>
      <c r="O106" s="23" t="e">
        <f t="shared" si="23"/>
        <v>#DIV/0!</v>
      </c>
    </row>
    <row r="107" spans="3:15">
      <c r="C107" s="111"/>
      <c r="E107" s="22" t="s">
        <v>62</v>
      </c>
      <c r="F107" s="23" t="e">
        <f t="shared" si="23"/>
        <v>#DIV/0!</v>
      </c>
      <c r="G107" s="23" t="e">
        <f t="shared" si="23"/>
        <v>#DIV/0!</v>
      </c>
      <c r="H107" s="23" t="e">
        <f t="shared" si="23"/>
        <v>#DIV/0!</v>
      </c>
      <c r="I107" s="23" t="e">
        <f t="shared" si="23"/>
        <v>#DIV/0!</v>
      </c>
      <c r="J107" s="23" t="e">
        <f t="shared" si="23"/>
        <v>#DIV/0!</v>
      </c>
      <c r="K107" s="23">
        <f t="shared" si="23"/>
        <v>1.1903929812345262</v>
      </c>
      <c r="L107" s="23" t="e">
        <f t="shared" si="23"/>
        <v>#DIV/0!</v>
      </c>
      <c r="M107" s="23" t="e">
        <f t="shared" si="23"/>
        <v>#DIV/0!</v>
      </c>
      <c r="N107" s="23" t="e">
        <f t="shared" si="23"/>
        <v>#DIV/0!</v>
      </c>
      <c r="O107" s="23" t="e">
        <f t="shared" si="23"/>
        <v>#DIV/0!</v>
      </c>
    </row>
    <row r="108" spans="3:15">
      <c r="C108" s="111"/>
      <c r="E108" s="22" t="s">
        <v>63</v>
      </c>
      <c r="F108" s="23" t="e">
        <f t="shared" si="23"/>
        <v>#DIV/0!</v>
      </c>
      <c r="G108" s="23" t="e">
        <f t="shared" si="23"/>
        <v>#DIV/0!</v>
      </c>
      <c r="H108" s="23" t="e">
        <f t="shared" si="23"/>
        <v>#DIV/0!</v>
      </c>
      <c r="I108" s="23" t="e">
        <f t="shared" si="23"/>
        <v>#DIV/0!</v>
      </c>
      <c r="J108" s="23" t="e">
        <f t="shared" si="23"/>
        <v>#DIV/0!</v>
      </c>
      <c r="K108" s="23">
        <f t="shared" si="23"/>
        <v>0.64217153581220288</v>
      </c>
      <c r="L108" s="23" t="e">
        <f t="shared" si="23"/>
        <v>#DIV/0!</v>
      </c>
      <c r="M108" s="23" t="e">
        <f t="shared" si="23"/>
        <v>#DIV/0!</v>
      </c>
      <c r="N108" s="23" t="e">
        <f t="shared" si="23"/>
        <v>#DIV/0!</v>
      </c>
      <c r="O108" s="23" t="e">
        <f t="shared" si="23"/>
        <v>#DIV/0!</v>
      </c>
    </row>
    <row r="109" spans="3:15">
      <c r="C109" s="111"/>
      <c r="E109" s="22" t="s">
        <v>163</v>
      </c>
      <c r="F109" s="23" t="e">
        <f>F82/F73</f>
        <v>#DIV/0!</v>
      </c>
      <c r="G109" s="23" t="e">
        <f t="shared" si="23"/>
        <v>#DIV/0!</v>
      </c>
      <c r="H109" s="23" t="e">
        <f t="shared" si="23"/>
        <v>#DIV/0!</v>
      </c>
      <c r="I109" s="23" t="e">
        <f t="shared" si="23"/>
        <v>#DIV/0!</v>
      </c>
      <c r="J109" s="23" t="e">
        <f t="shared" si="23"/>
        <v>#DIV/0!</v>
      </c>
      <c r="K109" s="23" t="e">
        <f t="shared" si="23"/>
        <v>#DIV/0!</v>
      </c>
      <c r="L109" s="23" t="e">
        <f t="shared" si="23"/>
        <v>#DIV/0!</v>
      </c>
      <c r="M109" s="23" t="e">
        <f t="shared" si="23"/>
        <v>#DIV/0!</v>
      </c>
      <c r="N109" s="23" t="e">
        <f t="shared" si="23"/>
        <v>#DIV/0!</v>
      </c>
      <c r="O109" s="23" t="e">
        <f t="shared" si="23"/>
        <v>#DIV/0!</v>
      </c>
    </row>
    <row r="110" spans="3:15">
      <c r="C110" s="111"/>
      <c r="D110" s="9" t="s">
        <v>31</v>
      </c>
      <c r="E110" s="22" t="s">
        <v>59</v>
      </c>
      <c r="F110" s="23" t="e">
        <f t="shared" ref="F110:O116" si="24">1-(F94/F67)</f>
        <v>#DIV/0!</v>
      </c>
      <c r="G110" s="23" t="e">
        <f t="shared" si="24"/>
        <v>#DIV/0!</v>
      </c>
      <c r="H110" s="23" t="e">
        <f t="shared" si="24"/>
        <v>#DIV/0!</v>
      </c>
      <c r="I110" s="23" t="e">
        <f t="shared" si="24"/>
        <v>#DIV/0!</v>
      </c>
      <c r="J110" s="23" t="e">
        <f t="shared" si="24"/>
        <v>#DIV/0!</v>
      </c>
      <c r="K110" s="23">
        <f t="shared" si="24"/>
        <v>0.97472977863102295</v>
      </c>
      <c r="L110" s="23" t="e">
        <f t="shared" si="24"/>
        <v>#DIV/0!</v>
      </c>
      <c r="M110" s="23" t="e">
        <f t="shared" si="24"/>
        <v>#DIV/0!</v>
      </c>
      <c r="N110" s="23" t="e">
        <f t="shared" si="24"/>
        <v>#DIV/0!</v>
      </c>
      <c r="O110" s="23" t="e">
        <f t="shared" si="24"/>
        <v>#DIV/0!</v>
      </c>
    </row>
    <row r="111" spans="3:15">
      <c r="C111" s="111"/>
      <c r="D111" s="10" t="s">
        <v>70</v>
      </c>
      <c r="E111" s="22" t="s">
        <v>164</v>
      </c>
      <c r="F111" s="23" t="e">
        <f t="shared" si="24"/>
        <v>#DIV/0!</v>
      </c>
      <c r="G111" s="23" t="e">
        <f t="shared" si="24"/>
        <v>#DIV/0!</v>
      </c>
      <c r="H111" s="23" t="e">
        <f t="shared" si="24"/>
        <v>#DIV/0!</v>
      </c>
      <c r="I111" s="23" t="e">
        <f t="shared" si="24"/>
        <v>#DIV/0!</v>
      </c>
      <c r="J111" s="23" t="e">
        <f t="shared" si="24"/>
        <v>#DIV/0!</v>
      </c>
      <c r="K111" s="23">
        <f t="shared" si="24"/>
        <v>1.0973746463066796</v>
      </c>
      <c r="L111" s="23" t="e">
        <f t="shared" si="24"/>
        <v>#DIV/0!</v>
      </c>
      <c r="M111" s="23" t="e">
        <f t="shared" si="24"/>
        <v>#DIV/0!</v>
      </c>
      <c r="N111" s="23" t="e">
        <f t="shared" si="24"/>
        <v>#DIV/0!</v>
      </c>
      <c r="O111" s="23" t="e">
        <f t="shared" si="24"/>
        <v>#DIV/0!</v>
      </c>
    </row>
    <row r="112" spans="3:15">
      <c r="C112" s="111"/>
      <c r="E112" s="22" t="s">
        <v>60</v>
      </c>
      <c r="F112" s="23" t="e">
        <f t="shared" si="24"/>
        <v>#DIV/0!</v>
      </c>
      <c r="G112" s="23" t="e">
        <f t="shared" si="24"/>
        <v>#DIV/0!</v>
      </c>
      <c r="H112" s="23" t="e">
        <f t="shared" si="24"/>
        <v>#DIV/0!</v>
      </c>
      <c r="I112" s="23" t="e">
        <f t="shared" si="24"/>
        <v>#DIV/0!</v>
      </c>
      <c r="J112" s="23" t="e">
        <f t="shared" si="24"/>
        <v>#DIV/0!</v>
      </c>
      <c r="K112" s="23">
        <f t="shared" si="24"/>
        <v>1.1232038655147409</v>
      </c>
      <c r="L112" s="23" t="e">
        <f t="shared" si="24"/>
        <v>#DIV/0!</v>
      </c>
      <c r="M112" s="23" t="e">
        <f t="shared" si="24"/>
        <v>#DIV/0!</v>
      </c>
      <c r="N112" s="23" t="e">
        <f t="shared" si="24"/>
        <v>#DIV/0!</v>
      </c>
      <c r="O112" s="23" t="e">
        <f t="shared" si="24"/>
        <v>#DIV/0!</v>
      </c>
    </row>
    <row r="113" spans="1:15">
      <c r="C113" s="111"/>
      <c r="E113" s="22" t="s">
        <v>61</v>
      </c>
      <c r="F113" s="23" t="e">
        <f t="shared" si="24"/>
        <v>#DIV/0!</v>
      </c>
      <c r="G113" s="23" t="e">
        <f t="shared" si="24"/>
        <v>#DIV/0!</v>
      </c>
      <c r="H113" s="23" t="e">
        <f t="shared" si="24"/>
        <v>#DIV/0!</v>
      </c>
      <c r="I113" s="23" t="e">
        <f t="shared" si="24"/>
        <v>#DIV/0!</v>
      </c>
      <c r="J113" s="23" t="e">
        <f t="shared" si="24"/>
        <v>#DIV/0!</v>
      </c>
      <c r="K113" s="23" t="e">
        <f t="shared" si="24"/>
        <v>#DIV/0!</v>
      </c>
      <c r="L113" s="23" t="e">
        <f t="shared" si="24"/>
        <v>#DIV/0!</v>
      </c>
      <c r="M113" s="23" t="e">
        <f t="shared" si="24"/>
        <v>#DIV/0!</v>
      </c>
      <c r="N113" s="23" t="e">
        <f t="shared" si="24"/>
        <v>#DIV/0!</v>
      </c>
      <c r="O113" s="23" t="e">
        <f t="shared" si="24"/>
        <v>#DIV/0!</v>
      </c>
    </row>
    <row r="114" spans="1:15">
      <c r="C114" s="111"/>
      <c r="E114" s="22" t="s">
        <v>62</v>
      </c>
      <c r="F114" s="23" t="e">
        <f t="shared" si="24"/>
        <v>#DIV/0!</v>
      </c>
      <c r="G114" s="23" t="e">
        <f t="shared" si="24"/>
        <v>#DIV/0!</v>
      </c>
      <c r="H114" s="23" t="e">
        <f t="shared" si="24"/>
        <v>#DIV/0!</v>
      </c>
      <c r="I114" s="23" t="e">
        <f t="shared" si="24"/>
        <v>#DIV/0!</v>
      </c>
      <c r="J114" s="23" t="e">
        <f t="shared" si="24"/>
        <v>#DIV/0!</v>
      </c>
      <c r="K114" s="23">
        <f t="shared" si="24"/>
        <v>0.95340282466801707</v>
      </c>
      <c r="L114" s="23" t="e">
        <f t="shared" si="24"/>
        <v>#DIV/0!</v>
      </c>
      <c r="M114" s="23" t="e">
        <f t="shared" si="24"/>
        <v>#DIV/0!</v>
      </c>
      <c r="N114" s="23" t="e">
        <f t="shared" si="24"/>
        <v>#DIV/0!</v>
      </c>
      <c r="O114" s="23" t="e">
        <f t="shared" si="24"/>
        <v>#DIV/0!</v>
      </c>
    </row>
    <row r="115" spans="1:15">
      <c r="C115" s="111"/>
      <c r="E115" s="22" t="s">
        <v>63</v>
      </c>
      <c r="F115" s="23" t="e">
        <f t="shared" si="24"/>
        <v>#DIV/0!</v>
      </c>
      <c r="G115" s="23" t="e">
        <f t="shared" si="24"/>
        <v>#DIV/0!</v>
      </c>
      <c r="H115" s="23" t="e">
        <f t="shared" si="24"/>
        <v>#DIV/0!</v>
      </c>
      <c r="I115" s="23" t="e">
        <f t="shared" si="24"/>
        <v>#DIV/0!</v>
      </c>
      <c r="J115" s="23" t="e">
        <f t="shared" si="24"/>
        <v>#DIV/0!</v>
      </c>
      <c r="K115" s="23">
        <f t="shared" si="24"/>
        <v>1.0015726649856624</v>
      </c>
      <c r="L115" s="23" t="e">
        <f t="shared" si="24"/>
        <v>#DIV/0!</v>
      </c>
      <c r="M115" s="23" t="e">
        <f t="shared" si="24"/>
        <v>#DIV/0!</v>
      </c>
      <c r="N115" s="23" t="e">
        <f t="shared" si="24"/>
        <v>#DIV/0!</v>
      </c>
      <c r="O115" s="23" t="e">
        <f t="shared" si="24"/>
        <v>#DIV/0!</v>
      </c>
    </row>
    <row r="116" spans="1:15">
      <c r="C116" s="111"/>
      <c r="E116" s="22" t="s">
        <v>163</v>
      </c>
      <c r="F116" s="23" t="e">
        <f t="shared" si="24"/>
        <v>#DIV/0!</v>
      </c>
      <c r="G116" s="23" t="e">
        <f t="shared" si="24"/>
        <v>#DIV/0!</v>
      </c>
      <c r="H116" s="23" t="e">
        <f t="shared" si="24"/>
        <v>#DIV/0!</v>
      </c>
      <c r="I116" s="23" t="e">
        <f t="shared" si="24"/>
        <v>#DIV/0!</v>
      </c>
      <c r="J116" s="23" t="e">
        <f t="shared" si="24"/>
        <v>#DIV/0!</v>
      </c>
      <c r="K116" s="23" t="e">
        <f t="shared" si="24"/>
        <v>#DIV/0!</v>
      </c>
      <c r="L116" s="23" t="e">
        <f t="shared" si="24"/>
        <v>#DIV/0!</v>
      </c>
      <c r="M116" s="23" t="e">
        <f t="shared" si="24"/>
        <v>#DIV/0!</v>
      </c>
      <c r="N116" s="23" t="e">
        <f t="shared" si="24"/>
        <v>#DIV/0!</v>
      </c>
      <c r="O116" s="23" t="e">
        <f t="shared" si="24"/>
        <v>#DIV/0!</v>
      </c>
    </row>
    <row r="117" spans="1:15">
      <c r="E117" s="21"/>
      <c r="F117" s="25"/>
      <c r="G117" s="25"/>
      <c r="H117" s="21"/>
      <c r="I117" s="21"/>
      <c r="J117" s="21"/>
      <c r="K117" s="21"/>
      <c r="L117" s="21"/>
      <c r="M117" s="21"/>
      <c r="N117" s="21"/>
      <c r="O117" s="21"/>
    </row>
    <row r="118" spans="1:15">
      <c r="A118" s="109" t="s">
        <v>113</v>
      </c>
      <c r="B118" s="109"/>
      <c r="E118" s="30" t="s">
        <v>108</v>
      </c>
      <c r="F118" s="29"/>
      <c r="G118" s="29"/>
      <c r="H118" s="30"/>
      <c r="I118" s="30"/>
      <c r="J118" s="30"/>
      <c r="K118" s="29">
        <v>13069000</v>
      </c>
      <c r="L118" s="30"/>
      <c r="M118" s="30"/>
      <c r="N118" s="30"/>
      <c r="O118" s="30"/>
    </row>
    <row r="119" spans="1:15">
      <c r="A119" s="109"/>
      <c r="B119" s="109"/>
      <c r="E119" s="33" t="s">
        <v>109</v>
      </c>
      <c r="F119" s="34"/>
      <c r="G119" s="34"/>
      <c r="H119" s="34"/>
      <c r="I119" s="34"/>
      <c r="J119" s="34"/>
      <c r="K119" s="68">
        <v>38702000</v>
      </c>
      <c r="L119" s="34"/>
      <c r="M119" s="34"/>
      <c r="N119" s="34"/>
      <c r="O119" s="34"/>
    </row>
    <row r="120" spans="1:15">
      <c r="E120" s="22" t="s">
        <v>110</v>
      </c>
      <c r="F120" s="42" t="e">
        <f>F119/F118</f>
        <v>#DIV/0!</v>
      </c>
      <c r="G120" s="42" t="e">
        <f t="shared" ref="G120:O120" si="25">G119/G118</f>
        <v>#DIV/0!</v>
      </c>
      <c r="H120" s="42" t="e">
        <f t="shared" si="25"/>
        <v>#DIV/0!</v>
      </c>
      <c r="I120" s="42" t="e">
        <f t="shared" si="25"/>
        <v>#DIV/0!</v>
      </c>
      <c r="J120" s="42" t="e">
        <f t="shared" si="25"/>
        <v>#DIV/0!</v>
      </c>
      <c r="K120" s="42">
        <f t="shared" si="25"/>
        <v>2.9613589410054328</v>
      </c>
      <c r="L120" s="42" t="e">
        <f t="shared" si="25"/>
        <v>#DIV/0!</v>
      </c>
      <c r="M120" s="42" t="e">
        <f t="shared" si="25"/>
        <v>#DIV/0!</v>
      </c>
      <c r="N120" s="42" t="e">
        <f t="shared" si="25"/>
        <v>#DIV/0!</v>
      </c>
      <c r="O120" s="42" t="e">
        <f t="shared" si="25"/>
        <v>#DIV/0!</v>
      </c>
    </row>
    <row r="127" spans="1:15" s="92" customFormat="1">
      <c r="A127" s="93" t="s">
        <v>221</v>
      </c>
    </row>
  </sheetData>
  <mergeCells count="18">
    <mergeCell ref="C76:C83"/>
    <mergeCell ref="C85:C92"/>
    <mergeCell ref="C94:C101"/>
    <mergeCell ref="C103:C116"/>
    <mergeCell ref="A118:B119"/>
    <mergeCell ref="C44:C48"/>
    <mergeCell ref="C50:C55"/>
    <mergeCell ref="A57:B58"/>
    <mergeCell ref="C57:C65"/>
    <mergeCell ref="A67:B68"/>
    <mergeCell ref="C67:C74"/>
    <mergeCell ref="A34:B35"/>
    <mergeCell ref="C34:C42"/>
    <mergeCell ref="A2:B3"/>
    <mergeCell ref="C2:C8"/>
    <mergeCell ref="C10:C15"/>
    <mergeCell ref="C18:C22"/>
    <mergeCell ref="C24:C32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O127"/>
  <sheetViews>
    <sheetView zoomScale="85" zoomScaleNormal="85" workbookViewId="0">
      <pane xSplit="5" ySplit="1" topLeftCell="F8" activePane="bottomRight" state="frozen"/>
      <selection pane="topRight"/>
      <selection pane="bottomLeft"/>
      <selection pane="bottomRight" activeCell="F27" sqref="F27"/>
    </sheetView>
  </sheetViews>
  <sheetFormatPr defaultRowHeight="14.25"/>
  <cols>
    <col min="1" max="1" width="12.88671875" customWidth="1"/>
    <col min="3" max="3" width="5.88671875" customWidth="1"/>
    <col min="4" max="4" width="9.44140625" customWidth="1"/>
    <col min="5" max="5" width="57.21875" bestFit="1" customWidth="1"/>
    <col min="6" max="8" width="11.77734375" bestFit="1" customWidth="1"/>
    <col min="9" max="9" width="13.33203125" bestFit="1" customWidth="1"/>
    <col min="10" max="10" width="11.77734375" bestFit="1" customWidth="1"/>
    <col min="11" max="11" width="12.33203125" customWidth="1"/>
    <col min="12" max="12" width="11.21875" customWidth="1"/>
    <col min="13" max="13" width="11.6640625" customWidth="1"/>
  </cols>
  <sheetData>
    <row r="1" spans="1:15">
      <c r="A1" s="66" t="s">
        <v>2</v>
      </c>
      <c r="D1" s="2"/>
      <c r="E1" s="2" t="s">
        <v>3</v>
      </c>
      <c r="F1" s="2">
        <v>2011</v>
      </c>
      <c r="G1" s="2">
        <v>2012</v>
      </c>
      <c r="H1" s="2">
        <v>2013</v>
      </c>
      <c r="I1" s="2">
        <v>2014</v>
      </c>
      <c r="J1" s="2">
        <v>2015</v>
      </c>
      <c r="K1" s="2">
        <v>2016</v>
      </c>
      <c r="L1" s="3">
        <v>2017</v>
      </c>
      <c r="M1" s="3">
        <v>2018</v>
      </c>
      <c r="N1" s="3">
        <v>2019</v>
      </c>
      <c r="O1" s="3">
        <v>2020</v>
      </c>
    </row>
    <row r="2" spans="1:15" ht="16.5">
      <c r="A2" s="109" t="s">
        <v>4</v>
      </c>
      <c r="B2" s="109"/>
      <c r="C2" s="110" t="s">
        <v>5</v>
      </c>
      <c r="E2" s="32" t="s">
        <v>6</v>
      </c>
      <c r="F2" s="28"/>
      <c r="G2" s="28"/>
      <c r="H2" s="28"/>
      <c r="I2" s="28"/>
      <c r="J2" s="28"/>
      <c r="K2" s="28"/>
      <c r="L2" s="28"/>
      <c r="M2" s="28"/>
      <c r="N2" s="28"/>
      <c r="O2" s="28"/>
    </row>
    <row r="3" spans="1:15" ht="16.5">
      <c r="A3" s="109"/>
      <c r="B3" s="109"/>
      <c r="C3" s="110"/>
      <c r="E3" s="32" t="s">
        <v>7</v>
      </c>
      <c r="F3" s="29"/>
      <c r="G3" s="29"/>
      <c r="H3" s="29"/>
      <c r="I3" s="29"/>
      <c r="J3" s="29"/>
      <c r="K3" s="29"/>
      <c r="L3" s="30"/>
      <c r="M3" s="30"/>
      <c r="N3" s="30"/>
      <c r="O3" s="30"/>
    </row>
    <row r="4" spans="1:15" ht="16.5">
      <c r="C4" s="110"/>
      <c r="E4" s="32" t="s">
        <v>117</v>
      </c>
      <c r="F4" s="28"/>
      <c r="G4" s="28"/>
      <c r="H4" s="28"/>
      <c r="I4" s="28"/>
      <c r="J4" s="28"/>
      <c r="K4" s="28"/>
      <c r="L4" s="28"/>
      <c r="M4" s="28"/>
      <c r="N4" s="28"/>
      <c r="O4" s="28"/>
    </row>
    <row r="5" spans="1:15" ht="16.5">
      <c r="C5" s="110"/>
      <c r="E5" s="32" t="s">
        <v>8</v>
      </c>
      <c r="F5" s="29"/>
      <c r="G5" s="29"/>
      <c r="H5" s="29"/>
      <c r="I5" s="29"/>
      <c r="J5" s="29"/>
      <c r="K5" s="29"/>
      <c r="L5" s="31"/>
      <c r="M5" s="30"/>
      <c r="N5" s="30"/>
      <c r="O5" s="30"/>
    </row>
    <row r="6" spans="1:15" ht="16.5">
      <c r="A6" s="29" t="s">
        <v>219</v>
      </c>
      <c r="C6" s="110"/>
      <c r="E6" s="18" t="s">
        <v>116</v>
      </c>
      <c r="F6" s="20"/>
      <c r="G6" s="19">
        <f>G5-F5</f>
        <v>0</v>
      </c>
      <c r="H6" s="19">
        <f t="shared" ref="H6:O6" si="0">H5-G5</f>
        <v>0</v>
      </c>
      <c r="I6" s="19">
        <f t="shared" si="0"/>
        <v>0</v>
      </c>
      <c r="J6" s="19">
        <f t="shared" si="0"/>
        <v>0</v>
      </c>
      <c r="K6" s="19">
        <f t="shared" si="0"/>
        <v>0</v>
      </c>
      <c r="L6" s="19">
        <f t="shared" si="0"/>
        <v>0</v>
      </c>
      <c r="M6" s="19">
        <f t="shared" si="0"/>
        <v>0</v>
      </c>
      <c r="N6" s="19">
        <f t="shared" si="0"/>
        <v>0</v>
      </c>
      <c r="O6" s="19">
        <f t="shared" si="0"/>
        <v>0</v>
      </c>
    </row>
    <row r="7" spans="1:15" ht="16.5">
      <c r="C7" s="110"/>
      <c r="D7" s="7" t="s">
        <v>32</v>
      </c>
      <c r="E7" s="18" t="s">
        <v>9</v>
      </c>
      <c r="F7" s="19">
        <f t="shared" ref="F7:O7" si="1">F2-F3-F4</f>
        <v>0</v>
      </c>
      <c r="G7" s="19">
        <f t="shared" si="1"/>
        <v>0</v>
      </c>
      <c r="H7" s="19">
        <f t="shared" si="1"/>
        <v>0</v>
      </c>
      <c r="I7" s="19">
        <f t="shared" si="1"/>
        <v>0</v>
      </c>
      <c r="J7" s="19">
        <f t="shared" si="1"/>
        <v>0</v>
      </c>
      <c r="K7" s="19">
        <f t="shared" si="1"/>
        <v>0</v>
      </c>
      <c r="L7" s="19">
        <f t="shared" si="1"/>
        <v>0</v>
      </c>
      <c r="M7" s="19">
        <f t="shared" si="1"/>
        <v>0</v>
      </c>
      <c r="N7" s="19">
        <f t="shared" si="1"/>
        <v>0</v>
      </c>
      <c r="O7" s="19">
        <f t="shared" si="1"/>
        <v>0</v>
      </c>
    </row>
    <row r="8" spans="1:15" ht="16.5">
      <c r="C8" s="110"/>
      <c r="D8" s="7" t="s">
        <v>27</v>
      </c>
      <c r="E8" s="18" t="s">
        <v>10</v>
      </c>
      <c r="F8" s="19">
        <f>F2-F6</f>
        <v>0</v>
      </c>
      <c r="G8" s="19">
        <f t="shared" ref="G8:O8" si="2">G2-G6</f>
        <v>0</v>
      </c>
      <c r="H8" s="19">
        <f t="shared" si="2"/>
        <v>0</v>
      </c>
      <c r="I8" s="19">
        <f t="shared" si="2"/>
        <v>0</v>
      </c>
      <c r="J8" s="19">
        <f t="shared" si="2"/>
        <v>0</v>
      </c>
      <c r="K8" s="19">
        <f t="shared" si="2"/>
        <v>0</v>
      </c>
      <c r="L8" s="19">
        <f t="shared" si="2"/>
        <v>0</v>
      </c>
      <c r="M8" s="19">
        <f t="shared" si="2"/>
        <v>0</v>
      </c>
      <c r="N8" s="19">
        <f t="shared" si="2"/>
        <v>0</v>
      </c>
      <c r="O8" s="19">
        <f t="shared" si="2"/>
        <v>0</v>
      </c>
    </row>
    <row r="9" spans="1:15" ht="16.5">
      <c r="E9" s="18"/>
      <c r="F9" s="20"/>
      <c r="G9" s="20"/>
      <c r="H9" s="20"/>
      <c r="I9" s="20"/>
      <c r="J9" s="20"/>
      <c r="K9" s="20"/>
      <c r="L9" s="21"/>
      <c r="M9" s="21"/>
      <c r="N9" s="21"/>
      <c r="O9" s="21"/>
    </row>
    <row r="10" spans="1:15" ht="16.5">
      <c r="C10" s="110" t="s">
        <v>11</v>
      </c>
      <c r="E10" s="32" t="s">
        <v>12</v>
      </c>
      <c r="F10" s="29"/>
      <c r="G10" s="29"/>
      <c r="H10" s="29"/>
      <c r="I10" s="29"/>
      <c r="J10" s="29"/>
      <c r="K10" s="29"/>
      <c r="L10" s="30"/>
      <c r="M10" s="30"/>
      <c r="N10" s="30"/>
      <c r="O10" s="30"/>
    </row>
    <row r="11" spans="1:15" ht="16.5">
      <c r="C11" s="110"/>
      <c r="E11" s="32" t="s">
        <v>13</v>
      </c>
      <c r="F11" s="29"/>
      <c r="G11" s="29"/>
      <c r="H11" s="29"/>
      <c r="I11" s="29"/>
      <c r="J11" s="29"/>
      <c r="K11" s="29"/>
      <c r="L11" s="30"/>
      <c r="M11" s="30"/>
      <c r="N11" s="30"/>
      <c r="O11" s="30"/>
    </row>
    <row r="12" spans="1:15" ht="16.5">
      <c r="C12" s="110"/>
      <c r="E12" s="18" t="s">
        <v>14</v>
      </c>
      <c r="F12" s="19">
        <f>F10-F11</f>
        <v>0</v>
      </c>
      <c r="G12" s="19">
        <f t="shared" ref="G12:H12" si="3">G10-G11</f>
        <v>0</v>
      </c>
      <c r="H12" s="19">
        <f t="shared" si="3"/>
        <v>0</v>
      </c>
      <c r="I12" s="19">
        <f>I10-I11</f>
        <v>0</v>
      </c>
      <c r="J12" s="19">
        <f>J10-J11</f>
        <v>0</v>
      </c>
      <c r="K12" s="19">
        <f>K10-K11</f>
        <v>0</v>
      </c>
      <c r="L12" s="19">
        <f t="shared" ref="L12:O12" si="4">L10-L11</f>
        <v>0</v>
      </c>
      <c r="M12" s="19">
        <f t="shared" si="4"/>
        <v>0</v>
      </c>
      <c r="N12" s="19">
        <f t="shared" si="4"/>
        <v>0</v>
      </c>
      <c r="O12" s="19">
        <f t="shared" si="4"/>
        <v>0</v>
      </c>
    </row>
    <row r="13" spans="1:15" ht="16.5">
      <c r="C13" s="110"/>
      <c r="E13" s="32" t="s">
        <v>15</v>
      </c>
      <c r="F13" s="29"/>
      <c r="G13" s="29"/>
      <c r="H13" s="29"/>
      <c r="I13" s="29"/>
      <c r="J13" s="29"/>
      <c r="K13" s="29"/>
      <c r="L13" s="30"/>
      <c r="M13" s="30"/>
      <c r="N13" s="30"/>
      <c r="O13" s="30"/>
    </row>
    <row r="14" spans="1:15" ht="16.5">
      <c r="C14" s="110"/>
      <c r="E14" s="32" t="s">
        <v>16</v>
      </c>
      <c r="F14" s="29"/>
      <c r="G14" s="29"/>
      <c r="H14" s="29"/>
      <c r="I14" s="29"/>
      <c r="J14" s="29"/>
      <c r="K14" s="29"/>
      <c r="L14" s="30"/>
      <c r="M14" s="30"/>
      <c r="N14" s="30"/>
      <c r="O14" s="30"/>
    </row>
    <row r="15" spans="1:15" ht="16.5">
      <c r="C15" s="110"/>
      <c r="E15" s="18" t="s">
        <v>17</v>
      </c>
      <c r="F15" s="19">
        <f>F12+F13-F14</f>
        <v>0</v>
      </c>
      <c r="G15" s="19">
        <f t="shared" ref="G15:I15" si="5">G12+G13-G14</f>
        <v>0</v>
      </c>
      <c r="H15" s="19">
        <f t="shared" si="5"/>
        <v>0</v>
      </c>
      <c r="I15" s="19">
        <f t="shared" si="5"/>
        <v>0</v>
      </c>
      <c r="J15" s="19">
        <f>J12+J13-J14</f>
        <v>0</v>
      </c>
      <c r="K15" s="19">
        <f>K12+K13-K14</f>
        <v>0</v>
      </c>
      <c r="L15" s="19">
        <f t="shared" ref="L15:O15" si="6">L12+L13-L14</f>
        <v>0</v>
      </c>
      <c r="M15" s="19">
        <f t="shared" si="6"/>
        <v>0</v>
      </c>
      <c r="N15" s="19">
        <f t="shared" si="6"/>
        <v>0</v>
      </c>
      <c r="O15" s="19">
        <f t="shared" si="6"/>
        <v>0</v>
      </c>
    </row>
    <row r="16" spans="1:15" ht="16.5">
      <c r="C16" s="38"/>
      <c r="E16" s="32" t="s">
        <v>18</v>
      </c>
      <c r="F16" s="29"/>
      <c r="G16" s="29"/>
      <c r="H16" s="29"/>
      <c r="I16" s="29"/>
      <c r="J16" s="29"/>
      <c r="K16" s="29"/>
      <c r="L16" s="30"/>
      <c r="M16" s="30"/>
      <c r="N16" s="30"/>
      <c r="O16" s="30"/>
    </row>
    <row r="17" spans="1:15">
      <c r="E17" s="21"/>
      <c r="F17" s="20"/>
      <c r="G17" s="20"/>
      <c r="H17" s="20"/>
      <c r="I17" s="20"/>
      <c r="J17" s="21"/>
      <c r="K17" s="20"/>
      <c r="L17" s="21"/>
      <c r="M17" s="21"/>
      <c r="N17" s="21"/>
      <c r="O17" s="21"/>
    </row>
    <row r="18" spans="1:15" ht="16.5">
      <c r="C18" s="110" t="s">
        <v>19</v>
      </c>
      <c r="E18" s="32" t="s">
        <v>20</v>
      </c>
      <c r="F18" s="29"/>
      <c r="G18" s="29"/>
      <c r="H18" s="29"/>
      <c r="I18" s="29"/>
      <c r="J18" s="29"/>
      <c r="K18" s="29"/>
      <c r="L18" s="30"/>
      <c r="M18" s="30"/>
      <c r="N18" s="30"/>
      <c r="O18" s="30"/>
    </row>
    <row r="19" spans="1:15" ht="16.5">
      <c r="C19" s="110"/>
      <c r="E19" s="32" t="s">
        <v>21</v>
      </c>
      <c r="F19" s="29"/>
      <c r="G19" s="29"/>
      <c r="H19" s="29"/>
      <c r="I19" s="29"/>
      <c r="J19" s="29"/>
      <c r="K19" s="29"/>
      <c r="L19" s="30"/>
      <c r="M19" s="30"/>
      <c r="N19" s="30"/>
      <c r="O19" s="30"/>
    </row>
    <row r="20" spans="1:15" ht="16.5">
      <c r="C20" s="110"/>
      <c r="E20" s="32" t="s">
        <v>22</v>
      </c>
      <c r="F20" s="29"/>
      <c r="G20" s="29"/>
      <c r="H20" s="29"/>
      <c r="I20" s="29"/>
      <c r="J20" s="29"/>
      <c r="K20" s="29"/>
      <c r="L20" s="30"/>
      <c r="M20" s="30"/>
      <c r="N20" s="30"/>
      <c r="O20" s="30"/>
    </row>
    <row r="21" spans="1:15" ht="16.5">
      <c r="C21" s="110"/>
      <c r="E21" s="32" t="s">
        <v>23</v>
      </c>
      <c r="F21" s="29"/>
      <c r="G21" s="29"/>
      <c r="H21" s="29"/>
      <c r="I21" s="29"/>
      <c r="J21" s="29"/>
      <c r="K21" s="29"/>
      <c r="L21" s="30"/>
      <c r="M21" s="30"/>
      <c r="N21" s="30"/>
      <c r="O21" s="30"/>
    </row>
    <row r="22" spans="1:15" ht="16.5">
      <c r="C22" s="110"/>
      <c r="E22" s="32" t="s">
        <v>24</v>
      </c>
      <c r="F22" s="29"/>
      <c r="G22" s="29"/>
      <c r="H22" s="29"/>
      <c r="I22" s="29"/>
      <c r="J22" s="29"/>
      <c r="K22" s="30"/>
      <c r="L22" s="30"/>
      <c r="M22" s="30"/>
      <c r="N22" s="30"/>
      <c r="O22" s="30"/>
    </row>
    <row r="23" spans="1:15" ht="16.5">
      <c r="E23" s="18"/>
      <c r="F23" s="21"/>
      <c r="G23" s="21"/>
      <c r="H23" s="21"/>
      <c r="I23" s="21"/>
      <c r="J23" s="20"/>
      <c r="K23" s="21"/>
      <c r="L23" s="21"/>
      <c r="M23" s="21"/>
      <c r="N23" s="21"/>
      <c r="O23" s="21"/>
    </row>
    <row r="24" spans="1:15">
      <c r="A24" t="s">
        <v>25</v>
      </c>
      <c r="C24" s="111" t="s">
        <v>26</v>
      </c>
      <c r="D24" s="7" t="s">
        <v>27</v>
      </c>
      <c r="E24" s="22" t="s">
        <v>28</v>
      </c>
      <c r="F24" s="67" t="e">
        <f>F10/F8</f>
        <v>#DIV/0!</v>
      </c>
      <c r="G24" s="67" t="e">
        <f t="shared" ref="G24:O24" si="7">G10/G8</f>
        <v>#DIV/0!</v>
      </c>
      <c r="H24" s="67" t="e">
        <f t="shared" si="7"/>
        <v>#DIV/0!</v>
      </c>
      <c r="I24" s="67" t="e">
        <f t="shared" si="7"/>
        <v>#DIV/0!</v>
      </c>
      <c r="J24" s="67" t="e">
        <f t="shared" si="7"/>
        <v>#DIV/0!</v>
      </c>
      <c r="K24" s="67" t="e">
        <f t="shared" si="7"/>
        <v>#DIV/0!</v>
      </c>
      <c r="L24" s="67" t="e">
        <f t="shared" si="7"/>
        <v>#DIV/0!</v>
      </c>
      <c r="M24" s="67" t="e">
        <f t="shared" si="7"/>
        <v>#DIV/0!</v>
      </c>
      <c r="N24" s="67" t="e">
        <f t="shared" si="7"/>
        <v>#DIV/0!</v>
      </c>
      <c r="O24" s="67" t="e">
        <f t="shared" si="7"/>
        <v>#DIV/0!</v>
      </c>
    </row>
    <row r="25" spans="1:15">
      <c r="C25" s="111"/>
      <c r="E25" s="22" t="s">
        <v>29</v>
      </c>
      <c r="F25" s="67" t="e">
        <f>(F10+F13)/F8</f>
        <v>#DIV/0!</v>
      </c>
      <c r="G25" s="67" t="e">
        <f t="shared" ref="G25:O25" si="8">(G10+G13)/G8</f>
        <v>#DIV/0!</v>
      </c>
      <c r="H25" s="67" t="e">
        <f t="shared" si="8"/>
        <v>#DIV/0!</v>
      </c>
      <c r="I25" s="67" t="e">
        <f t="shared" si="8"/>
        <v>#DIV/0!</v>
      </c>
      <c r="J25" s="67" t="e">
        <f t="shared" si="8"/>
        <v>#DIV/0!</v>
      </c>
      <c r="K25" s="67" t="e">
        <f t="shared" si="8"/>
        <v>#DIV/0!</v>
      </c>
      <c r="L25" s="67" t="e">
        <f t="shared" si="8"/>
        <v>#DIV/0!</v>
      </c>
      <c r="M25" s="67" t="e">
        <f t="shared" si="8"/>
        <v>#DIV/0!</v>
      </c>
      <c r="N25" s="67" t="e">
        <f t="shared" si="8"/>
        <v>#DIV/0!</v>
      </c>
      <c r="O25" s="67" t="e">
        <f t="shared" si="8"/>
        <v>#DIV/0!</v>
      </c>
    </row>
    <row r="26" spans="1:15">
      <c r="C26" s="111"/>
      <c r="E26" s="22" t="s">
        <v>30</v>
      </c>
      <c r="F26" s="67" t="e">
        <f>SUM(F18:F21)/F8</f>
        <v>#DIV/0!</v>
      </c>
      <c r="G26" s="67" t="e">
        <f>SUM(G18:G21)/G8</f>
        <v>#DIV/0!</v>
      </c>
      <c r="H26" s="67" t="e">
        <f t="shared" ref="H26:O26" si="9">SUM(H18:H21)/H8</f>
        <v>#DIV/0!</v>
      </c>
      <c r="I26" s="67" t="e">
        <f t="shared" si="9"/>
        <v>#DIV/0!</v>
      </c>
      <c r="J26" s="67" t="e">
        <f t="shared" si="9"/>
        <v>#DIV/0!</v>
      </c>
      <c r="K26" s="67" t="e">
        <f t="shared" si="9"/>
        <v>#DIV/0!</v>
      </c>
      <c r="L26" s="67" t="e">
        <f t="shared" si="9"/>
        <v>#DIV/0!</v>
      </c>
      <c r="M26" s="67" t="e">
        <f t="shared" si="9"/>
        <v>#DIV/0!</v>
      </c>
      <c r="N26" s="67" t="e">
        <f t="shared" si="9"/>
        <v>#DIV/0!</v>
      </c>
      <c r="O26" s="67" t="e">
        <f t="shared" si="9"/>
        <v>#DIV/0!</v>
      </c>
    </row>
    <row r="27" spans="1:15">
      <c r="C27" s="111"/>
      <c r="E27" s="22" t="s">
        <v>111</v>
      </c>
      <c r="F27" s="24" t="e">
        <f>F25+F26</f>
        <v>#DIV/0!</v>
      </c>
      <c r="G27" s="24" t="e">
        <f t="shared" ref="G27:O27" si="10">G25+G26</f>
        <v>#DIV/0!</v>
      </c>
      <c r="H27" s="24" t="e">
        <f t="shared" si="10"/>
        <v>#DIV/0!</v>
      </c>
      <c r="I27" s="24" t="e">
        <f t="shared" si="10"/>
        <v>#DIV/0!</v>
      </c>
      <c r="J27" s="24" t="e">
        <f t="shared" si="10"/>
        <v>#DIV/0!</v>
      </c>
      <c r="K27" s="24" t="e">
        <f t="shared" si="10"/>
        <v>#DIV/0!</v>
      </c>
      <c r="L27" s="24" t="e">
        <f t="shared" si="10"/>
        <v>#DIV/0!</v>
      </c>
      <c r="M27" s="24" t="e">
        <f t="shared" si="10"/>
        <v>#DIV/0!</v>
      </c>
      <c r="N27" s="24" t="e">
        <f t="shared" si="10"/>
        <v>#DIV/0!</v>
      </c>
      <c r="O27" s="24" t="e">
        <f t="shared" si="10"/>
        <v>#DIV/0!</v>
      </c>
    </row>
    <row r="28" spans="1:15">
      <c r="C28" s="111"/>
      <c r="D28" s="7" t="s">
        <v>32</v>
      </c>
      <c r="E28" s="22" t="s">
        <v>28</v>
      </c>
      <c r="F28" s="23" t="e">
        <f>F12/F7</f>
        <v>#DIV/0!</v>
      </c>
      <c r="G28" s="23" t="e">
        <f t="shared" ref="G28:O28" si="11">G12/G7</f>
        <v>#DIV/0!</v>
      </c>
      <c r="H28" s="23" t="e">
        <f t="shared" si="11"/>
        <v>#DIV/0!</v>
      </c>
      <c r="I28" s="23" t="e">
        <f t="shared" si="11"/>
        <v>#DIV/0!</v>
      </c>
      <c r="J28" s="23" t="e">
        <f t="shared" si="11"/>
        <v>#DIV/0!</v>
      </c>
      <c r="K28" s="23" t="e">
        <f t="shared" si="11"/>
        <v>#DIV/0!</v>
      </c>
      <c r="L28" s="23" t="e">
        <f t="shared" si="11"/>
        <v>#DIV/0!</v>
      </c>
      <c r="M28" s="23" t="e">
        <f t="shared" si="11"/>
        <v>#DIV/0!</v>
      </c>
      <c r="N28" s="23" t="e">
        <f t="shared" si="11"/>
        <v>#DIV/0!</v>
      </c>
      <c r="O28" s="23" t="e">
        <f t="shared" si="11"/>
        <v>#DIV/0!</v>
      </c>
    </row>
    <row r="29" spans="1:15">
      <c r="C29" s="111"/>
      <c r="E29" s="22" t="s">
        <v>29</v>
      </c>
      <c r="F29" s="23" t="e">
        <f>F15/F7</f>
        <v>#DIV/0!</v>
      </c>
      <c r="G29" s="23" t="e">
        <f t="shared" ref="G29:O29" si="12">G15/G7</f>
        <v>#DIV/0!</v>
      </c>
      <c r="H29" s="23" t="e">
        <f t="shared" si="12"/>
        <v>#DIV/0!</v>
      </c>
      <c r="I29" s="23" t="e">
        <f t="shared" si="12"/>
        <v>#DIV/0!</v>
      </c>
      <c r="J29" s="23" t="e">
        <f t="shared" si="12"/>
        <v>#DIV/0!</v>
      </c>
      <c r="K29" s="23" t="e">
        <f t="shared" si="12"/>
        <v>#DIV/0!</v>
      </c>
      <c r="L29" s="23" t="e">
        <f t="shared" si="12"/>
        <v>#DIV/0!</v>
      </c>
      <c r="M29" s="23" t="e">
        <f t="shared" si="12"/>
        <v>#DIV/0!</v>
      </c>
      <c r="N29" s="23" t="e">
        <f t="shared" si="12"/>
        <v>#DIV/0!</v>
      </c>
      <c r="O29" s="23" t="e">
        <f t="shared" si="12"/>
        <v>#DIV/0!</v>
      </c>
    </row>
    <row r="30" spans="1:15">
      <c r="C30" s="111"/>
      <c r="E30" s="22" t="s">
        <v>30</v>
      </c>
      <c r="F30" s="67" t="e">
        <f>(SUM(F18:F21)-F22)/F7</f>
        <v>#DIV/0!</v>
      </c>
      <c r="G30" s="67" t="e">
        <f t="shared" ref="G30:O30" si="13">(SUM(G18:G21)-G22)/G7</f>
        <v>#DIV/0!</v>
      </c>
      <c r="H30" s="67" t="e">
        <f t="shared" si="13"/>
        <v>#DIV/0!</v>
      </c>
      <c r="I30" s="67" t="e">
        <f t="shared" si="13"/>
        <v>#DIV/0!</v>
      </c>
      <c r="J30" s="67" t="e">
        <f t="shared" si="13"/>
        <v>#DIV/0!</v>
      </c>
      <c r="K30" s="67" t="e">
        <f t="shared" si="13"/>
        <v>#DIV/0!</v>
      </c>
      <c r="L30" s="67" t="e">
        <f t="shared" si="13"/>
        <v>#DIV/0!</v>
      </c>
      <c r="M30" s="67" t="e">
        <f t="shared" si="13"/>
        <v>#DIV/0!</v>
      </c>
      <c r="N30" s="67" t="e">
        <f t="shared" si="13"/>
        <v>#DIV/0!</v>
      </c>
      <c r="O30" s="67" t="e">
        <f t="shared" si="13"/>
        <v>#DIV/0!</v>
      </c>
    </row>
    <row r="31" spans="1:15">
      <c r="C31" s="111"/>
      <c r="E31" s="22" t="s">
        <v>112</v>
      </c>
      <c r="F31" s="24" t="e">
        <f>F29+F30</f>
        <v>#DIV/0!</v>
      </c>
      <c r="G31" s="24" t="e">
        <f t="shared" ref="G31:O31" si="14">G29+G30</f>
        <v>#DIV/0!</v>
      </c>
      <c r="H31" s="24" t="e">
        <f t="shared" si="14"/>
        <v>#DIV/0!</v>
      </c>
      <c r="I31" s="24" t="e">
        <f t="shared" si="14"/>
        <v>#DIV/0!</v>
      </c>
      <c r="J31" s="24" t="e">
        <f t="shared" si="14"/>
        <v>#DIV/0!</v>
      </c>
      <c r="K31" s="24" t="e">
        <f t="shared" si="14"/>
        <v>#DIV/0!</v>
      </c>
      <c r="L31" s="24" t="e">
        <f t="shared" si="14"/>
        <v>#DIV/0!</v>
      </c>
      <c r="M31" s="24" t="e">
        <f t="shared" si="14"/>
        <v>#DIV/0!</v>
      </c>
      <c r="N31" s="24" t="e">
        <f t="shared" si="14"/>
        <v>#DIV/0!</v>
      </c>
      <c r="O31" s="24" t="e">
        <f t="shared" si="14"/>
        <v>#DIV/0!</v>
      </c>
    </row>
    <row r="32" spans="1:15">
      <c r="C32" s="111"/>
      <c r="E32" s="22" t="s">
        <v>33</v>
      </c>
      <c r="F32" s="67" t="e">
        <f>F3/F2</f>
        <v>#DIV/0!</v>
      </c>
      <c r="G32" s="67" t="e">
        <f t="shared" ref="G32:O32" si="15">G3/G2</f>
        <v>#DIV/0!</v>
      </c>
      <c r="H32" s="67" t="e">
        <f t="shared" si="15"/>
        <v>#DIV/0!</v>
      </c>
      <c r="I32" s="67" t="e">
        <f t="shared" si="15"/>
        <v>#DIV/0!</v>
      </c>
      <c r="J32" s="67" t="e">
        <f t="shared" si="15"/>
        <v>#DIV/0!</v>
      </c>
      <c r="K32" s="67" t="e">
        <f t="shared" si="15"/>
        <v>#DIV/0!</v>
      </c>
      <c r="L32" s="67" t="e">
        <f t="shared" si="15"/>
        <v>#DIV/0!</v>
      </c>
      <c r="M32" s="67" t="e">
        <f t="shared" si="15"/>
        <v>#DIV/0!</v>
      </c>
      <c r="N32" s="67" t="e">
        <f t="shared" si="15"/>
        <v>#DIV/0!</v>
      </c>
      <c r="O32" s="67" t="e">
        <f t="shared" si="15"/>
        <v>#DIV/0!</v>
      </c>
    </row>
    <row r="33" spans="1:15"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</row>
    <row r="34" spans="1:15" ht="16.5" customHeight="1">
      <c r="A34" s="109" t="s">
        <v>34</v>
      </c>
      <c r="B34" s="109"/>
      <c r="C34" s="113" t="s">
        <v>35</v>
      </c>
      <c r="E34" s="32" t="s">
        <v>36</v>
      </c>
      <c r="F34" s="29"/>
      <c r="G34" s="29"/>
      <c r="H34" s="29"/>
      <c r="I34" s="29"/>
      <c r="J34" s="29"/>
      <c r="K34" s="29"/>
      <c r="L34" s="30"/>
      <c r="M34" s="30"/>
      <c r="N34" s="30"/>
      <c r="O34" s="30"/>
    </row>
    <row r="35" spans="1:15" ht="16.5" customHeight="1">
      <c r="A35" s="109"/>
      <c r="B35" s="109"/>
      <c r="C35" s="113"/>
      <c r="E35" s="32" t="s">
        <v>37</v>
      </c>
      <c r="F35" s="29"/>
      <c r="G35" s="29"/>
      <c r="H35" s="30"/>
      <c r="I35" s="29"/>
      <c r="J35" s="29"/>
      <c r="K35" s="29"/>
      <c r="L35" s="30"/>
      <c r="M35" s="30"/>
      <c r="N35" s="30"/>
      <c r="O35" s="30"/>
    </row>
    <row r="36" spans="1:15" ht="16.5">
      <c r="C36" s="113"/>
      <c r="E36" s="32" t="s">
        <v>38</v>
      </c>
      <c r="F36" s="29"/>
      <c r="G36" s="29"/>
      <c r="H36" s="29"/>
      <c r="I36" s="29"/>
      <c r="J36" s="29"/>
      <c r="K36" s="29"/>
      <c r="L36" s="30"/>
      <c r="M36" s="30"/>
      <c r="N36" s="30"/>
      <c r="O36" s="30"/>
    </row>
    <row r="37" spans="1:15" ht="16.5">
      <c r="C37" s="113"/>
      <c r="E37" s="32" t="s">
        <v>39</v>
      </c>
      <c r="F37" s="29"/>
      <c r="G37" s="29"/>
      <c r="H37" s="29"/>
      <c r="I37" s="29"/>
      <c r="J37" s="29"/>
      <c r="K37" s="29"/>
      <c r="L37" s="30"/>
      <c r="M37" s="30"/>
      <c r="N37" s="30"/>
      <c r="O37" s="30"/>
    </row>
    <row r="38" spans="1:15" ht="16.5">
      <c r="C38" s="113"/>
      <c r="E38" s="32" t="s">
        <v>40</v>
      </c>
      <c r="F38" s="29"/>
      <c r="G38" s="29"/>
      <c r="H38" s="29"/>
      <c r="I38" s="29"/>
      <c r="J38" s="29"/>
      <c r="K38" s="29"/>
      <c r="L38" s="30"/>
      <c r="M38" s="30"/>
      <c r="N38" s="30"/>
      <c r="O38" s="30"/>
    </row>
    <row r="39" spans="1:15" ht="16.5">
      <c r="C39" s="113"/>
      <c r="E39" s="32" t="s">
        <v>41</v>
      </c>
      <c r="F39" s="29"/>
      <c r="G39" s="29"/>
      <c r="H39" s="29"/>
      <c r="I39" s="29"/>
      <c r="J39" s="29"/>
      <c r="K39" s="29"/>
      <c r="L39" s="30"/>
      <c r="M39" s="30"/>
      <c r="N39" s="30"/>
      <c r="O39" s="30"/>
    </row>
    <row r="40" spans="1:15" ht="16.5">
      <c r="C40" s="113"/>
      <c r="E40" s="32" t="s">
        <v>90</v>
      </c>
      <c r="F40" s="29"/>
      <c r="G40" s="29"/>
      <c r="H40" s="29"/>
      <c r="I40" s="29"/>
      <c r="J40" s="29"/>
      <c r="K40" s="29"/>
      <c r="L40" s="30"/>
      <c r="M40" s="30"/>
      <c r="N40" s="30"/>
      <c r="O40" s="30"/>
    </row>
    <row r="41" spans="1:15" ht="16.5">
      <c r="C41" s="113"/>
      <c r="E41" s="32" t="s">
        <v>42</v>
      </c>
      <c r="F41" s="29"/>
      <c r="G41" s="29"/>
      <c r="H41" s="29"/>
      <c r="I41" s="29"/>
      <c r="J41" s="29"/>
      <c r="K41" s="29"/>
      <c r="L41" s="30"/>
      <c r="M41" s="30"/>
      <c r="N41" s="30"/>
      <c r="O41" s="30"/>
    </row>
    <row r="42" spans="1:15" ht="16.5">
      <c r="C42" s="113"/>
      <c r="E42" s="32" t="s">
        <v>96</v>
      </c>
      <c r="F42" s="29"/>
      <c r="G42" s="29"/>
      <c r="H42" s="31"/>
      <c r="I42" s="31"/>
      <c r="J42" s="29"/>
      <c r="K42" s="29"/>
      <c r="L42" s="30"/>
      <c r="M42" s="30"/>
      <c r="N42" s="30"/>
      <c r="O42" s="30"/>
    </row>
    <row r="43" spans="1:15"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</row>
    <row r="44" spans="1:15" ht="16.5">
      <c r="C44" s="114" t="s">
        <v>43</v>
      </c>
      <c r="E44" s="32" t="s">
        <v>44</v>
      </c>
      <c r="F44" s="31"/>
      <c r="G44" s="31"/>
      <c r="H44" s="29"/>
      <c r="I44" s="29"/>
      <c r="J44" s="31"/>
      <c r="K44" s="29"/>
      <c r="L44" s="30"/>
      <c r="M44" s="30"/>
      <c r="N44" s="30"/>
      <c r="O44" s="30"/>
    </row>
    <row r="45" spans="1:15" ht="16.5">
      <c r="C45" s="114"/>
      <c r="E45" s="32" t="s">
        <v>45</v>
      </c>
      <c r="F45" s="31"/>
      <c r="G45" s="31"/>
      <c r="H45" s="29"/>
      <c r="I45" s="29"/>
      <c r="J45" s="31"/>
      <c r="K45" s="29"/>
      <c r="L45" s="30"/>
      <c r="M45" s="30"/>
      <c r="N45" s="30"/>
      <c r="O45" s="30"/>
    </row>
    <row r="46" spans="1:15" ht="16.5">
      <c r="C46" s="114"/>
      <c r="E46" s="18" t="s">
        <v>46</v>
      </c>
      <c r="F46" s="20">
        <f t="shared" ref="F46:O46" si="16">F47-SUM(F44:F45)</f>
        <v>0</v>
      </c>
      <c r="G46" s="20">
        <f t="shared" si="16"/>
        <v>0</v>
      </c>
      <c r="H46" s="20">
        <f t="shared" si="16"/>
        <v>0</v>
      </c>
      <c r="I46" s="20">
        <f t="shared" si="16"/>
        <v>0</v>
      </c>
      <c r="J46" s="20">
        <f t="shared" si="16"/>
        <v>0</v>
      </c>
      <c r="K46" s="20">
        <f t="shared" si="16"/>
        <v>0</v>
      </c>
      <c r="L46" s="20">
        <f t="shared" si="16"/>
        <v>0</v>
      </c>
      <c r="M46" s="20">
        <f t="shared" si="16"/>
        <v>0</v>
      </c>
      <c r="N46" s="20">
        <f t="shared" si="16"/>
        <v>0</v>
      </c>
      <c r="O46" s="20">
        <f t="shared" si="16"/>
        <v>0</v>
      </c>
    </row>
    <row r="47" spans="1:15" ht="16.5">
      <c r="C47" s="114"/>
      <c r="E47" s="32" t="s">
        <v>47</v>
      </c>
      <c r="F47" s="28"/>
      <c r="G47" s="28"/>
      <c r="H47" s="28"/>
      <c r="I47" s="28"/>
      <c r="J47" s="28"/>
      <c r="K47" s="28"/>
      <c r="L47" s="28"/>
      <c r="M47" s="28"/>
      <c r="N47" s="28"/>
      <c r="O47" s="30"/>
    </row>
    <row r="48" spans="1:15" ht="16.5">
      <c r="C48" s="114"/>
      <c r="E48" s="32" t="s">
        <v>82</v>
      </c>
      <c r="F48" s="28"/>
      <c r="G48" s="28"/>
      <c r="H48" s="28"/>
      <c r="I48" s="28"/>
      <c r="J48" s="28"/>
      <c r="K48" s="28"/>
      <c r="L48" s="30"/>
      <c r="M48" s="30"/>
      <c r="N48" s="30"/>
      <c r="O48" s="30"/>
    </row>
    <row r="49" spans="1:15"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</row>
    <row r="50" spans="1:15" ht="14.25" customHeight="1">
      <c r="C50" s="111" t="s">
        <v>26</v>
      </c>
      <c r="E50" s="22" t="s">
        <v>48</v>
      </c>
      <c r="F50" s="23" t="e">
        <f>(F47)/(SUM(F34:F42))</f>
        <v>#DIV/0!</v>
      </c>
      <c r="G50" s="23" t="e">
        <f t="shared" ref="G50:O50" si="17">(G47)/(SUM(G34:G42))</f>
        <v>#DIV/0!</v>
      </c>
      <c r="H50" s="23" t="e">
        <f t="shared" si="17"/>
        <v>#DIV/0!</v>
      </c>
      <c r="I50" s="23" t="e">
        <f t="shared" si="17"/>
        <v>#DIV/0!</v>
      </c>
      <c r="J50" s="23" t="e">
        <f t="shared" si="17"/>
        <v>#DIV/0!</v>
      </c>
      <c r="K50" s="23" t="e">
        <f t="shared" si="17"/>
        <v>#DIV/0!</v>
      </c>
      <c r="L50" s="23" t="e">
        <f t="shared" si="17"/>
        <v>#DIV/0!</v>
      </c>
      <c r="M50" s="23" t="e">
        <f t="shared" si="17"/>
        <v>#DIV/0!</v>
      </c>
      <c r="N50" s="23" t="e">
        <f t="shared" si="17"/>
        <v>#DIV/0!</v>
      </c>
      <c r="O50" s="23" t="e">
        <f t="shared" si="17"/>
        <v>#DIV/0!</v>
      </c>
    </row>
    <row r="51" spans="1:15">
      <c r="C51" s="111"/>
      <c r="E51" s="22" t="s">
        <v>49</v>
      </c>
      <c r="F51" s="23" t="e">
        <f>(F47+F48)/SUM(F34:F42)</f>
        <v>#DIV/0!</v>
      </c>
      <c r="G51" s="23" t="e">
        <f t="shared" ref="G51:O51" si="18">(G47+G48)/SUM(G34:G42)</f>
        <v>#DIV/0!</v>
      </c>
      <c r="H51" s="23" t="e">
        <f t="shared" si="18"/>
        <v>#DIV/0!</v>
      </c>
      <c r="I51" s="23" t="e">
        <f t="shared" si="18"/>
        <v>#DIV/0!</v>
      </c>
      <c r="J51" s="23" t="e">
        <f t="shared" si="18"/>
        <v>#DIV/0!</v>
      </c>
      <c r="K51" s="23" t="e">
        <f t="shared" si="18"/>
        <v>#DIV/0!</v>
      </c>
      <c r="L51" s="23" t="e">
        <f t="shared" si="18"/>
        <v>#DIV/0!</v>
      </c>
      <c r="M51" s="23" t="e">
        <f t="shared" si="18"/>
        <v>#DIV/0!</v>
      </c>
      <c r="N51" s="23" t="e">
        <f t="shared" si="18"/>
        <v>#DIV/0!</v>
      </c>
      <c r="O51" s="23" t="e">
        <f t="shared" si="18"/>
        <v>#DIV/0!</v>
      </c>
    </row>
    <row r="52" spans="1:15">
      <c r="C52" s="11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</row>
    <row r="53" spans="1:15">
      <c r="C53" s="11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</row>
    <row r="54" spans="1:15" ht="14.25" customHeight="1">
      <c r="C54" s="111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</row>
    <row r="55" spans="1:15" ht="14.25" customHeight="1">
      <c r="C55" s="11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</row>
    <row r="56" spans="1:15" ht="16.5">
      <c r="E56" s="18"/>
      <c r="F56" s="21"/>
      <c r="G56" s="21"/>
      <c r="H56" s="21"/>
      <c r="I56" s="21"/>
      <c r="J56" s="21"/>
      <c r="K56" s="21"/>
      <c r="L56" s="21"/>
      <c r="M56" s="21"/>
      <c r="N56" s="21"/>
      <c r="O56" s="21"/>
    </row>
    <row r="57" spans="1:15" ht="14.25" customHeight="1">
      <c r="A57" s="109" t="s">
        <v>50</v>
      </c>
      <c r="B57" s="109"/>
      <c r="C57" s="111" t="s">
        <v>51</v>
      </c>
      <c r="E57" s="32" t="s">
        <v>52</v>
      </c>
      <c r="F57" s="30"/>
      <c r="G57" s="30"/>
      <c r="H57" s="30"/>
      <c r="I57" s="30"/>
      <c r="J57" s="30"/>
      <c r="K57" s="30"/>
      <c r="L57" s="30"/>
      <c r="M57" s="30"/>
      <c r="N57" s="30"/>
      <c r="O57" s="30"/>
    </row>
    <row r="58" spans="1:15" ht="16.5" customHeight="1">
      <c r="A58" s="109"/>
      <c r="B58" s="109"/>
      <c r="C58" s="111"/>
      <c r="E58" s="32" t="s">
        <v>53</v>
      </c>
      <c r="F58" s="30"/>
      <c r="G58" s="30"/>
      <c r="H58" s="30"/>
      <c r="I58" s="30"/>
      <c r="J58" s="30"/>
      <c r="K58" s="30"/>
      <c r="L58" s="30"/>
      <c r="M58" s="30"/>
      <c r="N58" s="30"/>
      <c r="O58" s="30"/>
    </row>
    <row r="59" spans="1:15" ht="16.5">
      <c r="C59" s="111"/>
      <c r="E59" s="32" t="s">
        <v>54</v>
      </c>
      <c r="F59" s="30"/>
      <c r="G59" s="30"/>
      <c r="H59" s="30"/>
      <c r="I59" s="30"/>
      <c r="J59" s="30"/>
      <c r="K59" s="30"/>
      <c r="L59" s="30"/>
      <c r="M59" s="30"/>
      <c r="N59" s="30"/>
      <c r="O59" s="30"/>
    </row>
    <row r="60" spans="1:15" ht="16.5">
      <c r="C60" s="111"/>
      <c r="E60" s="32" t="s">
        <v>175</v>
      </c>
      <c r="F60" s="30"/>
      <c r="G60" s="30"/>
      <c r="H60" s="30"/>
      <c r="I60" s="30"/>
      <c r="J60" s="30"/>
      <c r="K60" s="30"/>
      <c r="L60" s="30"/>
      <c r="M60" s="30"/>
      <c r="N60" s="30"/>
      <c r="O60" s="30"/>
    </row>
    <row r="61" spans="1:15" ht="16.5">
      <c r="C61" s="111"/>
      <c r="E61" s="32" t="s">
        <v>174</v>
      </c>
      <c r="F61" s="30"/>
      <c r="G61" s="30"/>
      <c r="H61" s="30"/>
      <c r="I61" s="30"/>
      <c r="J61" s="30"/>
      <c r="K61" s="30"/>
      <c r="L61" s="30"/>
      <c r="M61" s="30"/>
      <c r="N61" s="30"/>
      <c r="O61" s="30"/>
    </row>
    <row r="62" spans="1:15" ht="16.5">
      <c r="C62" s="111"/>
      <c r="E62" s="32" t="s">
        <v>55</v>
      </c>
      <c r="F62" s="30"/>
      <c r="G62" s="30"/>
      <c r="H62" s="30"/>
      <c r="I62" s="30"/>
      <c r="J62" s="30"/>
      <c r="K62" s="30"/>
      <c r="L62" s="30"/>
      <c r="M62" s="30"/>
      <c r="N62" s="30"/>
      <c r="O62" s="30"/>
    </row>
    <row r="63" spans="1:15">
      <c r="C63" s="111"/>
      <c r="E63" s="22" t="s">
        <v>56</v>
      </c>
      <c r="F63" s="22" t="e">
        <f>F62/F59</f>
        <v>#DIV/0!</v>
      </c>
      <c r="G63" s="22" t="e">
        <f t="shared" ref="G63:O63" si="19">G62/G59</f>
        <v>#DIV/0!</v>
      </c>
      <c r="H63" s="22" t="e">
        <f t="shared" si="19"/>
        <v>#DIV/0!</v>
      </c>
      <c r="I63" s="22" t="e">
        <f t="shared" si="19"/>
        <v>#DIV/0!</v>
      </c>
      <c r="J63" s="22" t="e">
        <f t="shared" si="19"/>
        <v>#DIV/0!</v>
      </c>
      <c r="K63" s="22" t="e">
        <f t="shared" si="19"/>
        <v>#DIV/0!</v>
      </c>
      <c r="L63" s="22" t="e">
        <f t="shared" si="19"/>
        <v>#DIV/0!</v>
      </c>
      <c r="M63" s="22" t="e">
        <f t="shared" si="19"/>
        <v>#DIV/0!</v>
      </c>
      <c r="N63" s="22" t="e">
        <f t="shared" si="19"/>
        <v>#DIV/0!</v>
      </c>
      <c r="O63" s="22" t="e">
        <f t="shared" si="19"/>
        <v>#DIV/0!</v>
      </c>
    </row>
    <row r="64" spans="1:15">
      <c r="C64" s="111"/>
      <c r="E64" s="22" t="s">
        <v>144</v>
      </c>
      <c r="F64" s="22" t="e">
        <f>F58/F57</f>
        <v>#DIV/0!</v>
      </c>
      <c r="G64" s="22" t="e">
        <f t="shared" ref="G64:O64" si="20">G58/G57</f>
        <v>#DIV/0!</v>
      </c>
      <c r="H64" s="22" t="e">
        <f t="shared" si="20"/>
        <v>#DIV/0!</v>
      </c>
      <c r="I64" s="22" t="e">
        <f t="shared" si="20"/>
        <v>#DIV/0!</v>
      </c>
      <c r="J64" s="22" t="e">
        <f t="shared" si="20"/>
        <v>#DIV/0!</v>
      </c>
      <c r="K64" s="22" t="e">
        <f t="shared" si="20"/>
        <v>#DIV/0!</v>
      </c>
      <c r="L64" s="22" t="e">
        <f t="shared" si="20"/>
        <v>#DIV/0!</v>
      </c>
      <c r="M64" s="22" t="e">
        <f t="shared" si="20"/>
        <v>#DIV/0!</v>
      </c>
      <c r="N64" s="22" t="e">
        <f t="shared" si="20"/>
        <v>#DIV/0!</v>
      </c>
      <c r="O64" s="22" t="e">
        <f t="shared" si="20"/>
        <v>#DIV/0!</v>
      </c>
    </row>
    <row r="65" spans="1:15">
      <c r="C65" s="111"/>
      <c r="E65" s="22" t="s">
        <v>145</v>
      </c>
      <c r="F65" s="22" t="e">
        <f>F58/F59</f>
        <v>#DIV/0!</v>
      </c>
      <c r="G65" s="22" t="e">
        <f t="shared" ref="G65:O65" si="21">G58/G59</f>
        <v>#DIV/0!</v>
      </c>
      <c r="H65" s="22" t="e">
        <f t="shared" si="21"/>
        <v>#DIV/0!</v>
      </c>
      <c r="I65" s="22" t="e">
        <f t="shared" si="21"/>
        <v>#DIV/0!</v>
      </c>
      <c r="J65" s="22" t="e">
        <f t="shared" si="21"/>
        <v>#DIV/0!</v>
      </c>
      <c r="K65" s="22" t="e">
        <f t="shared" si="21"/>
        <v>#DIV/0!</v>
      </c>
      <c r="L65" s="22" t="e">
        <f t="shared" si="21"/>
        <v>#DIV/0!</v>
      </c>
      <c r="M65" s="22" t="e">
        <f t="shared" si="21"/>
        <v>#DIV/0!</v>
      </c>
      <c r="N65" s="22" t="e">
        <f t="shared" si="21"/>
        <v>#DIV/0!</v>
      </c>
      <c r="O65" s="22" t="e">
        <f t="shared" si="21"/>
        <v>#DIV/0!</v>
      </c>
    </row>
    <row r="66" spans="1:15">
      <c r="E66" s="21"/>
      <c r="F66" s="21"/>
      <c r="G66" s="21"/>
      <c r="H66" s="21"/>
      <c r="I66" s="21"/>
      <c r="J66" s="21"/>
      <c r="K66" s="21"/>
      <c r="L66" s="21"/>
      <c r="M66" s="21"/>
      <c r="N66" s="21"/>
      <c r="O66" s="21"/>
    </row>
    <row r="67" spans="1:15" ht="16.5" customHeight="1">
      <c r="A67" s="109" t="s">
        <v>57</v>
      </c>
      <c r="B67" s="109"/>
      <c r="C67" s="110" t="s">
        <v>58</v>
      </c>
      <c r="E67" s="32" t="s">
        <v>59</v>
      </c>
      <c r="F67" s="29"/>
      <c r="G67" s="29"/>
      <c r="H67" s="30"/>
      <c r="I67" s="30"/>
      <c r="J67" s="29"/>
      <c r="K67" s="30"/>
      <c r="L67" s="30"/>
      <c r="M67" s="30"/>
      <c r="N67" s="30"/>
      <c r="O67" s="30"/>
    </row>
    <row r="68" spans="1:15" ht="16.5" customHeight="1">
      <c r="A68" s="109"/>
      <c r="B68" s="109"/>
      <c r="C68" s="110"/>
      <c r="E68" s="32" t="s">
        <v>164</v>
      </c>
      <c r="F68" s="29"/>
      <c r="G68" s="29"/>
      <c r="H68" s="30"/>
      <c r="I68" s="30"/>
      <c r="J68" s="29"/>
      <c r="K68" s="30"/>
      <c r="L68" s="30"/>
      <c r="M68" s="30"/>
      <c r="N68" s="30"/>
      <c r="O68" s="30"/>
    </row>
    <row r="69" spans="1:15" ht="16.5">
      <c r="C69" s="110"/>
      <c r="E69" s="32" t="s">
        <v>60</v>
      </c>
      <c r="F69" s="29"/>
      <c r="G69" s="29"/>
      <c r="H69" s="30"/>
      <c r="I69" s="30"/>
      <c r="J69" s="29"/>
      <c r="K69" s="30"/>
      <c r="L69" s="30"/>
      <c r="M69" s="30"/>
      <c r="N69" s="30"/>
      <c r="O69" s="30"/>
    </row>
    <row r="70" spans="1:15" ht="16.5">
      <c r="C70" s="110"/>
      <c r="E70" s="32" t="s">
        <v>61</v>
      </c>
      <c r="F70" s="29"/>
      <c r="G70" s="29"/>
      <c r="H70" s="30"/>
      <c r="I70" s="30"/>
      <c r="J70" s="29"/>
      <c r="K70" s="30"/>
      <c r="L70" s="30"/>
      <c r="M70" s="30"/>
      <c r="N70" s="30"/>
      <c r="O70" s="30"/>
    </row>
    <row r="71" spans="1:15" ht="16.5">
      <c r="C71" s="110"/>
      <c r="E71" s="32" t="s">
        <v>62</v>
      </c>
      <c r="F71" s="29"/>
      <c r="G71" s="29"/>
      <c r="H71" s="30"/>
      <c r="I71" s="30"/>
      <c r="J71" s="29"/>
      <c r="K71" s="30"/>
      <c r="L71" s="30"/>
      <c r="M71" s="30"/>
      <c r="N71" s="30"/>
      <c r="O71" s="30"/>
    </row>
    <row r="72" spans="1:15" ht="16.5">
      <c r="C72" s="110"/>
      <c r="E72" s="32" t="s">
        <v>63</v>
      </c>
      <c r="F72" s="29"/>
      <c r="G72" s="29"/>
      <c r="H72" s="30"/>
      <c r="I72" s="30"/>
      <c r="J72" s="29"/>
      <c r="K72" s="30"/>
      <c r="L72" s="30"/>
      <c r="M72" s="30"/>
      <c r="N72" s="30"/>
      <c r="O72" s="30"/>
    </row>
    <row r="73" spans="1:15" ht="16.5">
      <c r="C73" s="110"/>
      <c r="E73" s="32" t="s">
        <v>163</v>
      </c>
      <c r="F73" s="29"/>
      <c r="G73" s="29"/>
      <c r="H73" s="30"/>
      <c r="I73" s="30"/>
      <c r="J73" s="29"/>
      <c r="K73" s="30"/>
      <c r="L73" s="30"/>
      <c r="M73" s="30"/>
      <c r="N73" s="30"/>
      <c r="O73" s="30"/>
    </row>
    <row r="74" spans="1:15" ht="16.5">
      <c r="C74" s="110"/>
      <c r="E74" s="32" t="s">
        <v>46</v>
      </c>
      <c r="F74" s="29"/>
      <c r="G74" s="29"/>
      <c r="H74" s="30"/>
      <c r="I74" s="30"/>
      <c r="J74" s="29"/>
      <c r="K74" s="30"/>
      <c r="L74" s="30"/>
      <c r="M74" s="30"/>
      <c r="N74" s="30"/>
      <c r="O74" s="30"/>
    </row>
    <row r="75" spans="1:15" ht="16.5">
      <c r="E75" s="18"/>
      <c r="F75" s="20"/>
      <c r="G75" s="20"/>
      <c r="H75" s="21"/>
      <c r="I75" s="21"/>
      <c r="J75" s="20"/>
      <c r="K75" s="21"/>
      <c r="L75" s="21"/>
      <c r="M75" s="21"/>
      <c r="N75" s="21"/>
      <c r="O75" s="21"/>
    </row>
    <row r="76" spans="1:15" ht="16.5" customHeight="1">
      <c r="C76" s="110" t="s">
        <v>64</v>
      </c>
      <c r="E76" s="32" t="s">
        <v>59</v>
      </c>
      <c r="F76" s="29"/>
      <c r="G76" s="29"/>
      <c r="H76" s="30"/>
      <c r="I76" s="30"/>
      <c r="J76" s="29"/>
      <c r="K76" s="30"/>
      <c r="L76" s="30"/>
      <c r="M76" s="30"/>
      <c r="N76" s="30"/>
      <c r="O76" s="30"/>
    </row>
    <row r="77" spans="1:15" ht="16.5">
      <c r="C77" s="110"/>
      <c r="E77" s="32" t="s">
        <v>164</v>
      </c>
      <c r="F77" s="29"/>
      <c r="G77" s="29"/>
      <c r="H77" s="30"/>
      <c r="I77" s="30"/>
      <c r="J77" s="29"/>
      <c r="K77" s="30"/>
      <c r="L77" s="30"/>
      <c r="M77" s="30"/>
      <c r="N77" s="30"/>
      <c r="O77" s="30"/>
    </row>
    <row r="78" spans="1:15" ht="16.5">
      <c r="C78" s="110"/>
      <c r="E78" s="32" t="s">
        <v>60</v>
      </c>
      <c r="F78" s="29"/>
      <c r="G78" s="29"/>
      <c r="H78" s="30"/>
      <c r="I78" s="30"/>
      <c r="J78" s="29"/>
      <c r="K78" s="30"/>
      <c r="L78" s="30"/>
      <c r="M78" s="30"/>
      <c r="N78" s="30"/>
      <c r="O78" s="30"/>
    </row>
    <row r="79" spans="1:15" ht="16.5">
      <c r="C79" s="110"/>
      <c r="E79" s="32" t="s">
        <v>61</v>
      </c>
      <c r="F79" s="29"/>
      <c r="G79" s="29"/>
      <c r="H79" s="30"/>
      <c r="I79" s="30"/>
      <c r="J79" s="29"/>
      <c r="K79" s="30"/>
      <c r="L79" s="30"/>
      <c r="M79" s="30"/>
      <c r="N79" s="30"/>
      <c r="O79" s="30"/>
    </row>
    <row r="80" spans="1:15" ht="16.5">
      <c r="C80" s="110"/>
      <c r="E80" s="32" t="s">
        <v>62</v>
      </c>
      <c r="F80" s="29"/>
      <c r="G80" s="29"/>
      <c r="H80" s="30"/>
      <c r="I80" s="30"/>
      <c r="J80" s="29"/>
      <c r="K80" s="30"/>
      <c r="L80" s="30"/>
      <c r="M80" s="30"/>
      <c r="N80" s="30"/>
      <c r="O80" s="30"/>
    </row>
    <row r="81" spans="3:15" ht="16.5">
      <c r="C81" s="110"/>
      <c r="E81" s="32" t="s">
        <v>63</v>
      </c>
      <c r="F81" s="29"/>
      <c r="G81" s="29"/>
      <c r="H81" s="30"/>
      <c r="I81" s="30"/>
      <c r="J81" s="29"/>
      <c r="K81" s="30"/>
      <c r="L81" s="30"/>
      <c r="M81" s="30"/>
      <c r="N81" s="30"/>
      <c r="O81" s="30"/>
    </row>
    <row r="82" spans="3:15" ht="16.5">
      <c r="C82" s="110"/>
      <c r="E82" s="32" t="s">
        <v>163</v>
      </c>
      <c r="F82" s="29"/>
      <c r="G82" s="29"/>
      <c r="H82" s="30"/>
      <c r="I82" s="30"/>
      <c r="J82" s="29"/>
      <c r="K82" s="30"/>
      <c r="L82" s="30"/>
      <c r="M82" s="30"/>
      <c r="N82" s="30"/>
      <c r="O82" s="30"/>
    </row>
    <row r="83" spans="3:15" ht="16.5">
      <c r="C83" s="110"/>
      <c r="E83" s="32" t="s">
        <v>46</v>
      </c>
      <c r="F83" s="29"/>
      <c r="G83" s="29"/>
      <c r="H83" s="30"/>
      <c r="I83" s="30"/>
      <c r="J83" s="29"/>
      <c r="K83" s="30"/>
      <c r="L83" s="30"/>
      <c r="M83" s="30"/>
      <c r="N83" s="30"/>
      <c r="O83" s="30"/>
    </row>
    <row r="84" spans="3:15">
      <c r="E84" s="21"/>
      <c r="F84" s="20"/>
      <c r="G84" s="20"/>
      <c r="H84" s="21"/>
      <c r="I84" s="21"/>
      <c r="J84" s="20"/>
      <c r="K84" s="21"/>
      <c r="L84" s="21"/>
      <c r="M84" s="21"/>
      <c r="N84" s="21"/>
      <c r="O84" s="21"/>
    </row>
    <row r="85" spans="3:15" ht="14.25" customHeight="1">
      <c r="C85" s="110" t="s">
        <v>65</v>
      </c>
      <c r="D85" s="8" t="s">
        <v>66</v>
      </c>
      <c r="E85" s="32" t="s">
        <v>59</v>
      </c>
      <c r="F85" s="29"/>
      <c r="G85" s="29"/>
      <c r="H85" s="30"/>
      <c r="I85" s="30"/>
      <c r="J85" s="29"/>
      <c r="K85" s="30"/>
      <c r="L85" s="30"/>
      <c r="M85" s="30"/>
      <c r="N85" s="30"/>
      <c r="O85" s="30"/>
    </row>
    <row r="86" spans="3:15" ht="16.5">
      <c r="C86" s="110"/>
      <c r="E86" s="32" t="s">
        <v>164</v>
      </c>
      <c r="F86" s="29"/>
      <c r="G86" s="29"/>
      <c r="H86" s="30"/>
      <c r="I86" s="30"/>
      <c r="J86" s="29"/>
      <c r="K86" s="30"/>
      <c r="L86" s="30"/>
      <c r="M86" s="30"/>
      <c r="N86" s="30"/>
      <c r="O86" s="30"/>
    </row>
    <row r="87" spans="3:15" ht="16.5">
      <c r="C87" s="110"/>
      <c r="E87" s="32" t="s">
        <v>60</v>
      </c>
      <c r="F87" s="29"/>
      <c r="G87" s="29"/>
      <c r="H87" s="30"/>
      <c r="I87" s="30"/>
      <c r="J87" s="29"/>
      <c r="K87" s="30"/>
      <c r="L87" s="30"/>
      <c r="M87" s="30"/>
      <c r="N87" s="30"/>
      <c r="O87" s="30"/>
    </row>
    <row r="88" spans="3:15" ht="16.5">
      <c r="C88" s="110"/>
      <c r="E88" s="32" t="s">
        <v>61</v>
      </c>
      <c r="F88" s="29"/>
      <c r="G88" s="29"/>
      <c r="H88" s="30"/>
      <c r="I88" s="30"/>
      <c r="J88" s="29"/>
      <c r="K88" s="30"/>
      <c r="L88" s="30"/>
      <c r="M88" s="30"/>
      <c r="N88" s="30"/>
      <c r="O88" s="30"/>
    </row>
    <row r="89" spans="3:15" ht="16.5">
      <c r="C89" s="110"/>
      <c r="E89" s="32" t="s">
        <v>62</v>
      </c>
      <c r="F89" s="29"/>
      <c r="G89" s="29"/>
      <c r="H89" s="30"/>
      <c r="I89" s="30"/>
      <c r="J89" s="29"/>
      <c r="K89" s="30"/>
      <c r="L89" s="30"/>
      <c r="M89" s="30"/>
      <c r="N89" s="30"/>
      <c r="O89" s="30"/>
    </row>
    <row r="90" spans="3:15" ht="16.5">
      <c r="C90" s="110"/>
      <c r="E90" s="32" t="s">
        <v>63</v>
      </c>
      <c r="F90" s="29"/>
      <c r="G90" s="29"/>
      <c r="H90" s="30"/>
      <c r="I90" s="30"/>
      <c r="J90" s="29"/>
      <c r="K90" s="30"/>
      <c r="L90" s="30"/>
      <c r="M90" s="30"/>
      <c r="N90" s="30"/>
      <c r="O90" s="30"/>
    </row>
    <row r="91" spans="3:15" ht="16.5">
      <c r="C91" s="110"/>
      <c r="E91" s="32" t="s">
        <v>163</v>
      </c>
      <c r="F91" s="29"/>
      <c r="G91" s="29"/>
      <c r="H91" s="30"/>
      <c r="I91" s="30"/>
      <c r="J91" s="29"/>
      <c r="K91" s="30"/>
      <c r="L91" s="30"/>
      <c r="M91" s="30"/>
      <c r="N91" s="30"/>
      <c r="O91" s="30"/>
    </row>
    <row r="92" spans="3:15" ht="16.5">
      <c r="C92" s="110"/>
      <c r="E92" s="32" t="s">
        <v>46</v>
      </c>
      <c r="F92" s="29"/>
      <c r="G92" s="29"/>
      <c r="H92" s="30"/>
      <c r="I92" s="30"/>
      <c r="J92" s="29"/>
      <c r="K92" s="30"/>
      <c r="L92" s="30"/>
      <c r="M92" s="30"/>
      <c r="N92" s="30"/>
      <c r="O92" s="30"/>
    </row>
    <row r="93" spans="3:15">
      <c r="E93" s="21"/>
      <c r="F93" s="20"/>
      <c r="G93" s="20"/>
      <c r="H93" s="21"/>
      <c r="I93" s="21"/>
      <c r="J93" s="20"/>
      <c r="K93" s="21"/>
      <c r="L93" s="21"/>
      <c r="M93" s="21"/>
      <c r="N93" s="21"/>
      <c r="O93" s="21"/>
    </row>
    <row r="94" spans="3:15" ht="16.5" customHeight="1">
      <c r="C94" s="110" t="s">
        <v>67</v>
      </c>
      <c r="E94" s="32" t="s">
        <v>59</v>
      </c>
      <c r="F94" s="29"/>
      <c r="G94" s="29"/>
      <c r="H94" s="30"/>
      <c r="I94" s="30"/>
      <c r="J94" s="29"/>
      <c r="K94" s="30"/>
      <c r="L94" s="30"/>
      <c r="M94" s="30"/>
      <c r="N94" s="30"/>
      <c r="O94" s="30"/>
    </row>
    <row r="95" spans="3:15" ht="16.5">
      <c r="C95" s="110"/>
      <c r="E95" s="32" t="s">
        <v>164</v>
      </c>
      <c r="F95" s="29"/>
      <c r="G95" s="29"/>
      <c r="H95" s="30"/>
      <c r="I95" s="30"/>
      <c r="J95" s="29"/>
      <c r="K95" s="30"/>
      <c r="L95" s="30"/>
      <c r="M95" s="30"/>
      <c r="N95" s="30"/>
      <c r="O95" s="30"/>
    </row>
    <row r="96" spans="3:15" ht="16.5">
      <c r="C96" s="110"/>
      <c r="E96" s="32" t="s">
        <v>60</v>
      </c>
      <c r="F96" s="29"/>
      <c r="G96" s="29"/>
      <c r="H96" s="30"/>
      <c r="I96" s="30"/>
      <c r="J96" s="29"/>
      <c r="K96" s="30"/>
      <c r="L96" s="30"/>
      <c r="M96" s="30"/>
      <c r="N96" s="30"/>
      <c r="O96" s="30"/>
    </row>
    <row r="97" spans="3:15" ht="16.5">
      <c r="C97" s="110"/>
      <c r="E97" s="32" t="s">
        <v>61</v>
      </c>
      <c r="F97" s="29"/>
      <c r="G97" s="29"/>
      <c r="H97" s="30"/>
      <c r="I97" s="30"/>
      <c r="J97" s="29"/>
      <c r="K97" s="30"/>
      <c r="L97" s="30"/>
      <c r="M97" s="30"/>
      <c r="N97" s="30"/>
      <c r="O97" s="30"/>
    </row>
    <row r="98" spans="3:15" ht="16.5">
      <c r="C98" s="110"/>
      <c r="E98" s="32" t="s">
        <v>62</v>
      </c>
      <c r="F98" s="29"/>
      <c r="G98" s="29"/>
      <c r="H98" s="30"/>
      <c r="I98" s="30"/>
      <c r="J98" s="29"/>
      <c r="K98" s="30"/>
      <c r="L98" s="30"/>
      <c r="M98" s="30"/>
      <c r="N98" s="30"/>
      <c r="O98" s="30"/>
    </row>
    <row r="99" spans="3:15" ht="16.5">
      <c r="C99" s="110"/>
      <c r="E99" s="32" t="s">
        <v>63</v>
      </c>
      <c r="F99" s="29"/>
      <c r="G99" s="29"/>
      <c r="H99" s="30"/>
      <c r="I99" s="30"/>
      <c r="J99" s="29"/>
      <c r="K99" s="30"/>
      <c r="L99" s="30"/>
      <c r="M99" s="30"/>
      <c r="N99" s="30"/>
      <c r="O99" s="30"/>
    </row>
    <row r="100" spans="3:15" ht="16.5">
      <c r="C100" s="110"/>
      <c r="E100" s="32" t="s">
        <v>163</v>
      </c>
      <c r="F100" s="29"/>
      <c r="G100" s="29"/>
      <c r="H100" s="30"/>
      <c r="I100" s="30"/>
      <c r="J100" s="29"/>
      <c r="K100" s="30"/>
      <c r="L100" s="30"/>
      <c r="M100" s="30"/>
      <c r="N100" s="30"/>
      <c r="O100" s="30"/>
    </row>
    <row r="101" spans="3:15" ht="16.5">
      <c r="C101" s="110"/>
      <c r="E101" s="32" t="s">
        <v>46</v>
      </c>
      <c r="F101" s="29"/>
      <c r="G101" s="29"/>
      <c r="H101" s="30"/>
      <c r="I101" s="30"/>
      <c r="J101" s="29"/>
      <c r="K101" s="30"/>
      <c r="L101" s="30"/>
      <c r="M101" s="30"/>
      <c r="N101" s="30"/>
      <c r="O101" s="30"/>
    </row>
    <row r="102" spans="3:15">
      <c r="E102" s="21"/>
      <c r="F102" s="20"/>
      <c r="G102" s="20"/>
      <c r="H102" s="21"/>
      <c r="I102" s="21"/>
      <c r="J102" s="20"/>
      <c r="K102" s="21"/>
      <c r="L102" s="21"/>
      <c r="M102" s="21"/>
      <c r="N102" s="21"/>
      <c r="O102" s="21"/>
    </row>
    <row r="103" spans="3:15" ht="16.5" customHeight="1">
      <c r="C103" s="111" t="s">
        <v>26</v>
      </c>
      <c r="D103" s="9" t="s">
        <v>68</v>
      </c>
      <c r="E103" s="22" t="s">
        <v>59</v>
      </c>
      <c r="F103" s="23" t="e">
        <f>F76/F67</f>
        <v>#DIV/0!</v>
      </c>
      <c r="G103" s="23" t="e">
        <f t="shared" ref="G103:O103" si="22">G76/G67</f>
        <v>#DIV/0!</v>
      </c>
      <c r="H103" s="23" t="e">
        <f t="shared" si="22"/>
        <v>#DIV/0!</v>
      </c>
      <c r="I103" s="23" t="e">
        <f t="shared" si="22"/>
        <v>#DIV/0!</v>
      </c>
      <c r="J103" s="23" t="e">
        <f t="shared" si="22"/>
        <v>#DIV/0!</v>
      </c>
      <c r="K103" s="23" t="e">
        <f t="shared" si="22"/>
        <v>#DIV/0!</v>
      </c>
      <c r="L103" s="23" t="e">
        <f t="shared" si="22"/>
        <v>#DIV/0!</v>
      </c>
      <c r="M103" s="23" t="e">
        <f t="shared" si="22"/>
        <v>#DIV/0!</v>
      </c>
      <c r="N103" s="23" t="e">
        <f t="shared" si="22"/>
        <v>#DIV/0!</v>
      </c>
      <c r="O103" s="23" t="e">
        <f t="shared" si="22"/>
        <v>#DIV/0!</v>
      </c>
    </row>
    <row r="104" spans="3:15">
      <c r="C104" s="111"/>
      <c r="D104" s="10" t="s">
        <v>69</v>
      </c>
      <c r="E104" s="22" t="s">
        <v>164</v>
      </c>
      <c r="F104" s="23" t="e">
        <f t="shared" ref="F104:O109" si="23">F77/F68</f>
        <v>#DIV/0!</v>
      </c>
      <c r="G104" s="23" t="e">
        <f t="shared" si="23"/>
        <v>#DIV/0!</v>
      </c>
      <c r="H104" s="23" t="e">
        <f t="shared" si="23"/>
        <v>#DIV/0!</v>
      </c>
      <c r="I104" s="23" t="e">
        <f t="shared" si="23"/>
        <v>#DIV/0!</v>
      </c>
      <c r="J104" s="23" t="e">
        <f t="shared" si="23"/>
        <v>#DIV/0!</v>
      </c>
      <c r="K104" s="23" t="e">
        <f t="shared" si="23"/>
        <v>#DIV/0!</v>
      </c>
      <c r="L104" s="23" t="e">
        <f t="shared" si="23"/>
        <v>#DIV/0!</v>
      </c>
      <c r="M104" s="23" t="e">
        <f t="shared" si="23"/>
        <v>#DIV/0!</v>
      </c>
      <c r="N104" s="23" t="e">
        <f t="shared" si="23"/>
        <v>#DIV/0!</v>
      </c>
      <c r="O104" s="23" t="e">
        <f t="shared" si="23"/>
        <v>#DIV/0!</v>
      </c>
    </row>
    <row r="105" spans="3:15">
      <c r="C105" s="111"/>
      <c r="E105" s="22" t="s">
        <v>60</v>
      </c>
      <c r="F105" s="23" t="e">
        <f t="shared" si="23"/>
        <v>#DIV/0!</v>
      </c>
      <c r="G105" s="23" t="e">
        <f t="shared" si="23"/>
        <v>#DIV/0!</v>
      </c>
      <c r="H105" s="23" t="e">
        <f t="shared" si="23"/>
        <v>#DIV/0!</v>
      </c>
      <c r="I105" s="23" t="e">
        <f t="shared" si="23"/>
        <v>#DIV/0!</v>
      </c>
      <c r="J105" s="23" t="e">
        <f t="shared" si="23"/>
        <v>#DIV/0!</v>
      </c>
      <c r="K105" s="23" t="e">
        <f t="shared" si="23"/>
        <v>#DIV/0!</v>
      </c>
      <c r="L105" s="23" t="e">
        <f t="shared" si="23"/>
        <v>#DIV/0!</v>
      </c>
      <c r="M105" s="23" t="e">
        <f t="shared" si="23"/>
        <v>#DIV/0!</v>
      </c>
      <c r="N105" s="23" t="e">
        <f t="shared" si="23"/>
        <v>#DIV/0!</v>
      </c>
      <c r="O105" s="23" t="e">
        <f t="shared" si="23"/>
        <v>#DIV/0!</v>
      </c>
    </row>
    <row r="106" spans="3:15">
      <c r="C106" s="111"/>
      <c r="E106" s="22" t="s">
        <v>61</v>
      </c>
      <c r="F106" s="23" t="e">
        <f t="shared" si="23"/>
        <v>#DIV/0!</v>
      </c>
      <c r="G106" s="23" t="e">
        <f t="shared" si="23"/>
        <v>#DIV/0!</v>
      </c>
      <c r="H106" s="23" t="e">
        <f t="shared" si="23"/>
        <v>#DIV/0!</v>
      </c>
      <c r="I106" s="23" t="e">
        <f t="shared" si="23"/>
        <v>#DIV/0!</v>
      </c>
      <c r="J106" s="23" t="e">
        <f t="shared" si="23"/>
        <v>#DIV/0!</v>
      </c>
      <c r="K106" s="23" t="e">
        <f t="shared" si="23"/>
        <v>#DIV/0!</v>
      </c>
      <c r="L106" s="23" t="e">
        <f t="shared" si="23"/>
        <v>#DIV/0!</v>
      </c>
      <c r="M106" s="23" t="e">
        <f t="shared" si="23"/>
        <v>#DIV/0!</v>
      </c>
      <c r="N106" s="23" t="e">
        <f t="shared" si="23"/>
        <v>#DIV/0!</v>
      </c>
      <c r="O106" s="23" t="e">
        <f t="shared" si="23"/>
        <v>#DIV/0!</v>
      </c>
    </row>
    <row r="107" spans="3:15">
      <c r="C107" s="111"/>
      <c r="E107" s="22" t="s">
        <v>62</v>
      </c>
      <c r="F107" s="23" t="e">
        <f t="shared" si="23"/>
        <v>#DIV/0!</v>
      </c>
      <c r="G107" s="23" t="e">
        <f t="shared" si="23"/>
        <v>#DIV/0!</v>
      </c>
      <c r="H107" s="23" t="e">
        <f t="shared" si="23"/>
        <v>#DIV/0!</v>
      </c>
      <c r="I107" s="23" t="e">
        <f t="shared" si="23"/>
        <v>#DIV/0!</v>
      </c>
      <c r="J107" s="23" t="e">
        <f t="shared" si="23"/>
        <v>#DIV/0!</v>
      </c>
      <c r="K107" s="23" t="e">
        <f t="shared" si="23"/>
        <v>#DIV/0!</v>
      </c>
      <c r="L107" s="23" t="e">
        <f t="shared" si="23"/>
        <v>#DIV/0!</v>
      </c>
      <c r="M107" s="23" t="e">
        <f t="shared" si="23"/>
        <v>#DIV/0!</v>
      </c>
      <c r="N107" s="23" t="e">
        <f t="shared" si="23"/>
        <v>#DIV/0!</v>
      </c>
      <c r="O107" s="23" t="e">
        <f t="shared" si="23"/>
        <v>#DIV/0!</v>
      </c>
    </row>
    <row r="108" spans="3:15">
      <c r="C108" s="111"/>
      <c r="E108" s="22" t="s">
        <v>63</v>
      </c>
      <c r="F108" s="23" t="e">
        <f t="shared" si="23"/>
        <v>#DIV/0!</v>
      </c>
      <c r="G108" s="23" t="e">
        <f t="shared" si="23"/>
        <v>#DIV/0!</v>
      </c>
      <c r="H108" s="23" t="e">
        <f t="shared" si="23"/>
        <v>#DIV/0!</v>
      </c>
      <c r="I108" s="23" t="e">
        <f t="shared" si="23"/>
        <v>#DIV/0!</v>
      </c>
      <c r="J108" s="23" t="e">
        <f t="shared" si="23"/>
        <v>#DIV/0!</v>
      </c>
      <c r="K108" s="23" t="e">
        <f t="shared" si="23"/>
        <v>#DIV/0!</v>
      </c>
      <c r="L108" s="23" t="e">
        <f t="shared" si="23"/>
        <v>#DIV/0!</v>
      </c>
      <c r="M108" s="23" t="e">
        <f t="shared" si="23"/>
        <v>#DIV/0!</v>
      </c>
      <c r="N108" s="23" t="e">
        <f t="shared" si="23"/>
        <v>#DIV/0!</v>
      </c>
      <c r="O108" s="23" t="e">
        <f t="shared" si="23"/>
        <v>#DIV/0!</v>
      </c>
    </row>
    <row r="109" spans="3:15">
      <c r="C109" s="111"/>
      <c r="E109" s="22" t="s">
        <v>163</v>
      </c>
      <c r="F109" s="23" t="e">
        <f>F82/F73</f>
        <v>#DIV/0!</v>
      </c>
      <c r="G109" s="23" t="e">
        <f t="shared" si="23"/>
        <v>#DIV/0!</v>
      </c>
      <c r="H109" s="23" t="e">
        <f t="shared" si="23"/>
        <v>#DIV/0!</v>
      </c>
      <c r="I109" s="23" t="e">
        <f t="shared" si="23"/>
        <v>#DIV/0!</v>
      </c>
      <c r="J109" s="23" t="e">
        <f t="shared" si="23"/>
        <v>#DIV/0!</v>
      </c>
      <c r="K109" s="23" t="e">
        <f t="shared" si="23"/>
        <v>#DIV/0!</v>
      </c>
      <c r="L109" s="23" t="e">
        <f t="shared" si="23"/>
        <v>#DIV/0!</v>
      </c>
      <c r="M109" s="23" t="e">
        <f t="shared" si="23"/>
        <v>#DIV/0!</v>
      </c>
      <c r="N109" s="23" t="e">
        <f t="shared" si="23"/>
        <v>#DIV/0!</v>
      </c>
      <c r="O109" s="23" t="e">
        <f t="shared" si="23"/>
        <v>#DIV/0!</v>
      </c>
    </row>
    <row r="110" spans="3:15">
      <c r="C110" s="111"/>
      <c r="D110" s="9" t="s">
        <v>31</v>
      </c>
      <c r="E110" s="22" t="s">
        <v>59</v>
      </c>
      <c r="F110" s="23" t="e">
        <f t="shared" ref="F110:O116" si="24">1-(F94/F67)</f>
        <v>#DIV/0!</v>
      </c>
      <c r="G110" s="23" t="e">
        <f t="shared" si="24"/>
        <v>#DIV/0!</v>
      </c>
      <c r="H110" s="23" t="e">
        <f t="shared" si="24"/>
        <v>#DIV/0!</v>
      </c>
      <c r="I110" s="23" t="e">
        <f t="shared" si="24"/>
        <v>#DIV/0!</v>
      </c>
      <c r="J110" s="23" t="e">
        <f t="shared" si="24"/>
        <v>#DIV/0!</v>
      </c>
      <c r="K110" s="23" t="e">
        <f t="shared" si="24"/>
        <v>#DIV/0!</v>
      </c>
      <c r="L110" s="23" t="e">
        <f t="shared" si="24"/>
        <v>#DIV/0!</v>
      </c>
      <c r="M110" s="23" t="e">
        <f t="shared" si="24"/>
        <v>#DIV/0!</v>
      </c>
      <c r="N110" s="23" t="e">
        <f t="shared" si="24"/>
        <v>#DIV/0!</v>
      </c>
      <c r="O110" s="23" t="e">
        <f t="shared" si="24"/>
        <v>#DIV/0!</v>
      </c>
    </row>
    <row r="111" spans="3:15">
      <c r="C111" s="111"/>
      <c r="D111" s="10" t="s">
        <v>70</v>
      </c>
      <c r="E111" s="22" t="s">
        <v>164</v>
      </c>
      <c r="F111" s="23" t="e">
        <f t="shared" si="24"/>
        <v>#DIV/0!</v>
      </c>
      <c r="G111" s="23" t="e">
        <f t="shared" si="24"/>
        <v>#DIV/0!</v>
      </c>
      <c r="H111" s="23" t="e">
        <f t="shared" si="24"/>
        <v>#DIV/0!</v>
      </c>
      <c r="I111" s="23" t="e">
        <f t="shared" si="24"/>
        <v>#DIV/0!</v>
      </c>
      <c r="J111" s="23" t="e">
        <f t="shared" si="24"/>
        <v>#DIV/0!</v>
      </c>
      <c r="K111" s="23" t="e">
        <f t="shared" si="24"/>
        <v>#DIV/0!</v>
      </c>
      <c r="L111" s="23" t="e">
        <f t="shared" si="24"/>
        <v>#DIV/0!</v>
      </c>
      <c r="M111" s="23" t="e">
        <f t="shared" si="24"/>
        <v>#DIV/0!</v>
      </c>
      <c r="N111" s="23" t="e">
        <f t="shared" si="24"/>
        <v>#DIV/0!</v>
      </c>
      <c r="O111" s="23" t="e">
        <f t="shared" si="24"/>
        <v>#DIV/0!</v>
      </c>
    </row>
    <row r="112" spans="3:15">
      <c r="C112" s="111"/>
      <c r="E112" s="22" t="s">
        <v>60</v>
      </c>
      <c r="F112" s="23" t="e">
        <f t="shared" si="24"/>
        <v>#DIV/0!</v>
      </c>
      <c r="G112" s="23" t="e">
        <f t="shared" si="24"/>
        <v>#DIV/0!</v>
      </c>
      <c r="H112" s="23" t="e">
        <f t="shared" si="24"/>
        <v>#DIV/0!</v>
      </c>
      <c r="I112" s="23" t="e">
        <f t="shared" si="24"/>
        <v>#DIV/0!</v>
      </c>
      <c r="J112" s="23" t="e">
        <f t="shared" si="24"/>
        <v>#DIV/0!</v>
      </c>
      <c r="K112" s="23" t="e">
        <f t="shared" si="24"/>
        <v>#DIV/0!</v>
      </c>
      <c r="L112" s="23" t="e">
        <f t="shared" si="24"/>
        <v>#DIV/0!</v>
      </c>
      <c r="M112" s="23" t="e">
        <f t="shared" si="24"/>
        <v>#DIV/0!</v>
      </c>
      <c r="N112" s="23" t="e">
        <f t="shared" si="24"/>
        <v>#DIV/0!</v>
      </c>
      <c r="O112" s="23" t="e">
        <f t="shared" si="24"/>
        <v>#DIV/0!</v>
      </c>
    </row>
    <row r="113" spans="1:15">
      <c r="C113" s="111"/>
      <c r="E113" s="22" t="s">
        <v>61</v>
      </c>
      <c r="F113" s="23" t="e">
        <f t="shared" si="24"/>
        <v>#DIV/0!</v>
      </c>
      <c r="G113" s="23" t="e">
        <f t="shared" si="24"/>
        <v>#DIV/0!</v>
      </c>
      <c r="H113" s="23" t="e">
        <f t="shared" si="24"/>
        <v>#DIV/0!</v>
      </c>
      <c r="I113" s="23" t="e">
        <f t="shared" si="24"/>
        <v>#DIV/0!</v>
      </c>
      <c r="J113" s="23" t="e">
        <f t="shared" si="24"/>
        <v>#DIV/0!</v>
      </c>
      <c r="K113" s="23" t="e">
        <f t="shared" si="24"/>
        <v>#DIV/0!</v>
      </c>
      <c r="L113" s="23" t="e">
        <f t="shared" si="24"/>
        <v>#DIV/0!</v>
      </c>
      <c r="M113" s="23" t="e">
        <f t="shared" si="24"/>
        <v>#DIV/0!</v>
      </c>
      <c r="N113" s="23" t="e">
        <f t="shared" si="24"/>
        <v>#DIV/0!</v>
      </c>
      <c r="O113" s="23" t="e">
        <f t="shared" si="24"/>
        <v>#DIV/0!</v>
      </c>
    </row>
    <row r="114" spans="1:15">
      <c r="C114" s="111"/>
      <c r="E114" s="22" t="s">
        <v>62</v>
      </c>
      <c r="F114" s="23" t="e">
        <f t="shared" si="24"/>
        <v>#DIV/0!</v>
      </c>
      <c r="G114" s="23" t="e">
        <f t="shared" si="24"/>
        <v>#DIV/0!</v>
      </c>
      <c r="H114" s="23" t="e">
        <f t="shared" si="24"/>
        <v>#DIV/0!</v>
      </c>
      <c r="I114" s="23" t="e">
        <f t="shared" si="24"/>
        <v>#DIV/0!</v>
      </c>
      <c r="J114" s="23" t="e">
        <f t="shared" si="24"/>
        <v>#DIV/0!</v>
      </c>
      <c r="K114" s="23" t="e">
        <f t="shared" si="24"/>
        <v>#DIV/0!</v>
      </c>
      <c r="L114" s="23" t="e">
        <f t="shared" si="24"/>
        <v>#DIV/0!</v>
      </c>
      <c r="M114" s="23" t="e">
        <f t="shared" si="24"/>
        <v>#DIV/0!</v>
      </c>
      <c r="N114" s="23" t="e">
        <f t="shared" si="24"/>
        <v>#DIV/0!</v>
      </c>
      <c r="O114" s="23" t="e">
        <f t="shared" si="24"/>
        <v>#DIV/0!</v>
      </c>
    </row>
    <row r="115" spans="1:15">
      <c r="C115" s="111"/>
      <c r="E115" s="22" t="s">
        <v>63</v>
      </c>
      <c r="F115" s="23" t="e">
        <f t="shared" si="24"/>
        <v>#DIV/0!</v>
      </c>
      <c r="G115" s="23" t="e">
        <f t="shared" si="24"/>
        <v>#DIV/0!</v>
      </c>
      <c r="H115" s="23" t="e">
        <f t="shared" si="24"/>
        <v>#DIV/0!</v>
      </c>
      <c r="I115" s="23" t="e">
        <f t="shared" si="24"/>
        <v>#DIV/0!</v>
      </c>
      <c r="J115" s="23" t="e">
        <f t="shared" si="24"/>
        <v>#DIV/0!</v>
      </c>
      <c r="K115" s="23" t="e">
        <f t="shared" si="24"/>
        <v>#DIV/0!</v>
      </c>
      <c r="L115" s="23" t="e">
        <f t="shared" si="24"/>
        <v>#DIV/0!</v>
      </c>
      <c r="M115" s="23" t="e">
        <f t="shared" si="24"/>
        <v>#DIV/0!</v>
      </c>
      <c r="N115" s="23" t="e">
        <f t="shared" si="24"/>
        <v>#DIV/0!</v>
      </c>
      <c r="O115" s="23" t="e">
        <f t="shared" si="24"/>
        <v>#DIV/0!</v>
      </c>
    </row>
    <row r="116" spans="1:15">
      <c r="C116" s="111"/>
      <c r="E116" s="22" t="s">
        <v>163</v>
      </c>
      <c r="F116" s="23" t="e">
        <f t="shared" si="24"/>
        <v>#DIV/0!</v>
      </c>
      <c r="G116" s="23" t="e">
        <f t="shared" si="24"/>
        <v>#DIV/0!</v>
      </c>
      <c r="H116" s="23" t="e">
        <f t="shared" si="24"/>
        <v>#DIV/0!</v>
      </c>
      <c r="I116" s="23" t="e">
        <f t="shared" si="24"/>
        <v>#DIV/0!</v>
      </c>
      <c r="J116" s="23" t="e">
        <f t="shared" si="24"/>
        <v>#DIV/0!</v>
      </c>
      <c r="K116" s="23" t="e">
        <f t="shared" si="24"/>
        <v>#DIV/0!</v>
      </c>
      <c r="L116" s="23" t="e">
        <f t="shared" si="24"/>
        <v>#DIV/0!</v>
      </c>
      <c r="M116" s="23" t="e">
        <f t="shared" si="24"/>
        <v>#DIV/0!</v>
      </c>
      <c r="N116" s="23" t="e">
        <f t="shared" si="24"/>
        <v>#DIV/0!</v>
      </c>
      <c r="O116" s="23" t="e">
        <f t="shared" si="24"/>
        <v>#DIV/0!</v>
      </c>
    </row>
    <row r="117" spans="1:15">
      <c r="E117" s="21"/>
      <c r="F117" s="25"/>
      <c r="G117" s="25"/>
      <c r="H117" s="21"/>
      <c r="I117" s="21"/>
      <c r="J117" s="21"/>
      <c r="K117" s="21"/>
      <c r="L117" s="21"/>
      <c r="M117" s="21"/>
      <c r="N117" s="21"/>
      <c r="O117" s="21"/>
    </row>
    <row r="118" spans="1:15">
      <c r="A118" s="109" t="s">
        <v>113</v>
      </c>
      <c r="B118" s="109"/>
      <c r="E118" s="30" t="s">
        <v>108</v>
      </c>
      <c r="F118" s="29"/>
      <c r="G118" s="29"/>
      <c r="H118" s="30"/>
      <c r="I118" s="30"/>
      <c r="J118" s="30"/>
      <c r="K118" s="30"/>
      <c r="L118" s="30"/>
      <c r="M118" s="30"/>
      <c r="N118" s="30"/>
      <c r="O118" s="30"/>
    </row>
    <row r="119" spans="1:15">
      <c r="A119" s="109"/>
      <c r="B119" s="109"/>
      <c r="E119" s="33" t="s">
        <v>109</v>
      </c>
      <c r="F119" s="34"/>
      <c r="G119" s="34"/>
      <c r="H119" s="34"/>
      <c r="I119" s="34"/>
      <c r="J119" s="34"/>
      <c r="K119" s="34"/>
      <c r="L119" s="34"/>
      <c r="M119" s="34"/>
      <c r="N119" s="34"/>
      <c r="O119" s="34"/>
    </row>
    <row r="120" spans="1:15">
      <c r="E120" s="22" t="s">
        <v>110</v>
      </c>
      <c r="F120" s="42" t="e">
        <f>F119/F118</f>
        <v>#DIV/0!</v>
      </c>
      <c r="G120" s="42" t="e">
        <f t="shared" ref="G120:O120" si="25">G119/G118</f>
        <v>#DIV/0!</v>
      </c>
      <c r="H120" s="42" t="e">
        <f t="shared" si="25"/>
        <v>#DIV/0!</v>
      </c>
      <c r="I120" s="42" t="e">
        <f t="shared" si="25"/>
        <v>#DIV/0!</v>
      </c>
      <c r="J120" s="42" t="e">
        <f t="shared" si="25"/>
        <v>#DIV/0!</v>
      </c>
      <c r="K120" s="42" t="e">
        <f t="shared" si="25"/>
        <v>#DIV/0!</v>
      </c>
      <c r="L120" s="42" t="e">
        <f t="shared" si="25"/>
        <v>#DIV/0!</v>
      </c>
      <c r="M120" s="42" t="e">
        <f t="shared" si="25"/>
        <v>#DIV/0!</v>
      </c>
      <c r="N120" s="42" t="e">
        <f t="shared" si="25"/>
        <v>#DIV/0!</v>
      </c>
      <c r="O120" s="42" t="e">
        <f t="shared" si="25"/>
        <v>#DIV/0!</v>
      </c>
    </row>
    <row r="127" spans="1:15" s="92" customFormat="1">
      <c r="A127" s="93" t="s">
        <v>221</v>
      </c>
    </row>
  </sheetData>
  <mergeCells count="18">
    <mergeCell ref="C76:C83"/>
    <mergeCell ref="C85:C92"/>
    <mergeCell ref="C94:C101"/>
    <mergeCell ref="C103:C116"/>
    <mergeCell ref="A118:B119"/>
    <mergeCell ref="C44:C48"/>
    <mergeCell ref="C50:C55"/>
    <mergeCell ref="A57:B58"/>
    <mergeCell ref="C57:C65"/>
    <mergeCell ref="A67:B68"/>
    <mergeCell ref="C67:C74"/>
    <mergeCell ref="A34:B35"/>
    <mergeCell ref="C34:C42"/>
    <mergeCell ref="A2:B3"/>
    <mergeCell ref="C2:C8"/>
    <mergeCell ref="C10:C15"/>
    <mergeCell ref="C18:C22"/>
    <mergeCell ref="C24:C3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Instruction</vt:lpstr>
      <vt:lpstr>Account Introduction</vt:lpstr>
      <vt:lpstr>Investment accounts</vt:lpstr>
      <vt:lpstr>Cockpit</vt:lpstr>
      <vt:lpstr>Peer Analysis</vt:lpstr>
      <vt:lpstr>Template</vt:lpstr>
      <vt:lpstr>PICC</vt:lpstr>
      <vt:lpstr>CPIC</vt:lpstr>
      <vt:lpstr>PingAn</vt:lpstr>
    </vt:vector>
  </TitlesOfParts>
  <Company>Swiss Re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Wayne Zhang</dc:creator>
  <cp:lastModifiedBy>Wayne Zhang</cp:lastModifiedBy>
  <dcterms:created xsi:type="dcterms:W3CDTF">2017-04-21T03:33:54Z</dcterms:created>
  <dcterms:modified xsi:type="dcterms:W3CDTF">2017-04-28T02:02:51Z</dcterms:modified>
</cp:coreProperties>
</file>